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Universe of Fields"/>
    <sheet r:id="rId2" sheetId="2" name="Sheet2"/>
    <sheet r:id="rId3" sheetId="3" name="ECM Category"/>
    <sheet r:id="rId4" sheetId="4" name="Lists"/>
  </sheets>
  <definedNames>
    <definedName name="Z_E34FEB14_707C_4D31_890A_BD80D3691B4D_.wvu.FilterData" localSheetId="0">'Universe of Fields'!$A$1:$BD$450</definedName>
    <definedName name="Z_0D8AC642_3654_4EF0_9A8B_4ED7CE8E4FB2_.wvu.FilterData" localSheetId="0">'Universe of Fields'!$A$1:$BG$470</definedName>
    <definedName name="Z_9835D75A_04B4_43D2_9958_E86AF100991D_.wvu.FilterData" localSheetId="0">'Universe of Fields'!$A$1:$BJ$485</definedName>
    <definedName name="Z_B42D0657_D468_4E27_B9C2_80865756E083_.wvu.FilterData" localSheetId="0">'Universe of Fields'!$A$1:$BA$452</definedName>
    <definedName name="Z_14AE64AC_3DCF_43D2_9D57_81F73F2F1D2D_.wvu.FilterData" localSheetId="0">'Universe of Fields'!$A$1:$BG$467</definedName>
    <definedName name="Z_051F6D28_A00B_4F45_8426_B02E46AEA894_.wvu.FilterData" localSheetId="0">'Universe of Fields'!$A$1:$BG$467</definedName>
    <definedName name="Z_903117E6_56A9_403E_8345_868519AF9EFA_.wvu.FilterData" localSheetId="0">'Universe of Fields'!$A$1:$AY$452</definedName>
  </definedNames>
  <calcPr fullCalcOnLoad="1"/>
</workbook>
</file>

<file path=xl/sharedStrings.xml><?xml version="1.0" encoding="utf-8"?>
<sst xmlns="http://schemas.openxmlformats.org/spreadsheetml/2006/main" count="13955" uniqueCount="4053">
  <si>
    <t>Accreditation Contacts</t>
  </si>
  <si>
    <t>Project Contacts</t>
  </si>
  <si>
    <t>MV Contacts</t>
  </si>
  <si>
    <t>Saving Field Types</t>
  </si>
  <si>
    <t>Savings Category</t>
  </si>
  <si>
    <t>Baseline Field Types</t>
  </si>
  <si>
    <t>Performance Period Expense Fields</t>
  </si>
  <si>
    <t>Template Fields</t>
  </si>
  <si>
    <t>ECM Technology Type</t>
  </si>
  <si>
    <t>MV Key Dates</t>
  </si>
  <si>
    <t>Field Type</t>
  </si>
  <si>
    <t>Non-Facility Measures</t>
  </si>
  <si>
    <t>Other Savings Category</t>
  </si>
  <si>
    <t>Unit Group</t>
  </si>
  <si>
    <t>Lead Engineer (contact_type_id=1)</t>
  </si>
  <si>
    <t>ESCO (contact_type_id=1)</t>
  </si>
  <si>
    <t>ESCO M&amp;V Specialist (contact_id=1)</t>
  </si>
  <si>
    <t>Electric energy savings kWh/yr (field_id=1)</t>
  </si>
  <si>
    <t>Electric Energy (field_id=1)</t>
  </si>
  <si>
    <t>Baseline electricity use (field_id=1)</t>
  </si>
  <si>
    <t>Management/Administration (field_id=1)</t>
  </si>
  <si>
    <t>Summary Schedule (note_type=1)</t>
  </si>
  <si>
    <t>Boiler Plant Improvements (technology_type_id=1)</t>
  </si>
  <si>
    <t>Award Date (mv_date_type=1)</t>
  </si>
  <si>
    <t>String (id=1)</t>
  </si>
  <si>
    <t>Athletic Field Lighting (measure=1)</t>
  </si>
  <si>
    <t>Coal (id=1)</t>
  </si>
  <si>
    <t>Energy (id=1)</t>
  </si>
  <si>
    <t>Lead Project Manager (contact_type_id=2)</t>
  </si>
  <si>
    <t>Customer (contact_type_id=2)</t>
  </si>
  <si>
    <t>Other M&amp;V Contact (contact_id=2)</t>
  </si>
  <si>
    <t>Electric energy savings $/yr (field_id=2)</t>
  </si>
  <si>
    <t>Electric Demand (field_id=2)</t>
  </si>
  <si>
    <t>Baseline electricity demand (field_id=2)</t>
  </si>
  <si>
    <t>Operation (field_id=2)</t>
  </si>
  <si>
    <t>Schedule 1 (note_type=2)</t>
  </si>
  <si>
    <t>Chiller Plant Improvements (technology_type_id=2)</t>
  </si>
  <si>
    <t>Report Date (mv_date_type=2)</t>
  </si>
  <si>
    <t>Number (id=2)</t>
  </si>
  <si>
    <t>Athletic Field Water (measure=2)</t>
  </si>
  <si>
    <t>Diesel (id=2)</t>
  </si>
  <si>
    <t>EnergyRate (id=2)</t>
  </si>
  <si>
    <t>Customer Reference (contact_type_id=3)</t>
  </si>
  <si>
    <t>Project Facilitator (contact_type_id=3)</t>
  </si>
  <si>
    <t>Third Party Verifier (contact_id=3)</t>
  </si>
  <si>
    <t>Electric demand savings kW/mo (field_id=3)</t>
  </si>
  <si>
    <t>Natural Gas (field_id=3)</t>
  </si>
  <si>
    <t>Baseline natural gas use (field_id=3)</t>
  </si>
  <si>
    <t>Maintenance (field_id=3)</t>
  </si>
  <si>
    <t>Schedule 2a (note_type=3)</t>
  </si>
  <si>
    <t>Building Automation Systems/Energy Management Control Systems (EMCS) (technology_type_id=3)</t>
  </si>
  <si>
    <t>Acceptance Date (mv_date_type=3)</t>
  </si>
  <si>
    <t>Currency (id=3)</t>
  </si>
  <si>
    <t>Fiber Optic Network (measure=3)</t>
  </si>
  <si>
    <t>Gasoline (id=3)</t>
  </si>
  <si>
    <t>Water (id=3)</t>
  </si>
  <si>
    <t>Finance Specialist (contact_type_id=4)</t>
  </si>
  <si>
    <t>Electric demand savings $/yr (field_id=4)</t>
  </si>
  <si>
    <t>Other 1 (field_id=4)</t>
  </si>
  <si>
    <t>Baseline other 1 use (field_id=4)</t>
  </si>
  <si>
    <t>Repair and Replacement (field_id=4)</t>
  </si>
  <si>
    <t>Schedule 2b (note_type=4)</t>
  </si>
  <si>
    <t>Heating, Ventilating, and Air Conditioning (technology_type_id=4)</t>
  </si>
  <si>
    <t>Review Date (mv_date_type=4)</t>
  </si>
  <si>
    <t>Percent (id=4)</t>
  </si>
  <si>
    <t>Highway Lighting (measure=4)</t>
  </si>
  <si>
    <t>Heating Oil (id=4)</t>
  </si>
  <si>
    <t>Dollars (id=4)</t>
  </si>
  <si>
    <t>Primary Financier (contact_type_id=5)</t>
  </si>
  <si>
    <t>Natural gas savings MMBtu/yr (field_id=5)</t>
  </si>
  <si>
    <t>Other 2 (field_id=5)</t>
  </si>
  <si>
    <t>Baseline other 2 use (field_id=5)</t>
  </si>
  <si>
    <t>Other PP Expense 1 (field_id=5)</t>
  </si>
  <si>
    <t>Schedule 3 (note_type=5)</t>
  </si>
  <si>
    <t>Lighting Improvements (technology_type_id=5)</t>
  </si>
  <si>
    <t>Approval Date (mv_date_type=5)</t>
  </si>
  <si>
    <t>Categorical (id=5)</t>
  </si>
  <si>
    <t>Microgrid (measure=5)</t>
  </si>
  <si>
    <t>Jet Fuel (id=5)</t>
  </si>
  <si>
    <t>Time (id=5)</t>
  </si>
  <si>
    <t>Project Builder (contact_type_id=6)</t>
  </si>
  <si>
    <t>Natural gas savings $/yr (field_id=6)</t>
  </si>
  <si>
    <t>Water (field_id=6)</t>
  </si>
  <si>
    <t>Baseline water use (field_id=6)</t>
  </si>
  <si>
    <t>Other PP Expense 2 (field_id=6)</t>
  </si>
  <si>
    <t>Schedule 4 (note_type=6)</t>
  </si>
  <si>
    <t>Building Envelope Modifications (technology_type_id=6)</t>
  </si>
  <si>
    <t>Due Date (mv_date_type=6)</t>
  </si>
  <si>
    <t>Date (id=6)</t>
  </si>
  <si>
    <t>Parking Lot Lighting (measure=6)</t>
  </si>
  <si>
    <t>Purchased Steam (id=6)</t>
  </si>
  <si>
    <t>Project Initiator (contact_type_id=7)</t>
  </si>
  <si>
    <t>Other Savings Type 1: Other MMBtu/yr (field_id=7)</t>
  </si>
  <si>
    <t>O&amp;M Cost (field_id=7)</t>
  </si>
  <si>
    <t>Baseline energy and resource costs (field_id=7)</t>
  </si>
  <si>
    <t>Schedule 5 (note_type=7)</t>
  </si>
  <si>
    <t>Chilled Water, Hot Water, and Steam Distribution Systems (technology_type_id=7)</t>
  </si>
  <si>
    <t>Verification Date (mv_date_type=7)</t>
  </si>
  <si>
    <t>Boolean (id=7)</t>
  </si>
  <si>
    <t>Potable Water System Infrastructure (measure=7)</t>
  </si>
  <si>
    <t>Chilled Water (id=7)</t>
  </si>
  <si>
    <t>Other Savings Type 1: Other $/yr (field_id=8)</t>
  </si>
  <si>
    <t>Other Non-Energy (field_id=8)</t>
  </si>
  <si>
    <t>Baseline O&amp;M costs (field_id=8)</t>
  </si>
  <si>
    <t>Escalation Rates (note_type=8)</t>
  </si>
  <si>
    <t>Electric Motors and Drives (technology_type_id=8)</t>
  </si>
  <si>
    <t>Performance Year Begin Date (mv_date_type=8)</t>
  </si>
  <si>
    <t>PerformancePeriodYear (id=8)</t>
  </si>
  <si>
    <t>Street Lighting (measure=8)</t>
  </si>
  <si>
    <t>Propane (id=8)</t>
  </si>
  <si>
    <t>Other Savings Type 2: Other MMBtu/yr (field_id=9)</t>
  </si>
  <si>
    <t>Other Avoided (field_id=9)</t>
  </si>
  <si>
    <t>Baseline other non-energy costs (field_id=9)</t>
  </si>
  <si>
    <t>Refrigeration (technology_type_id=9)</t>
  </si>
  <si>
    <t>Performance Year End Date (mv_date_type=9)</t>
  </si>
  <si>
    <t>StateList(id=9)</t>
  </si>
  <si>
    <t>Traffic Signals (measure=9)</t>
  </si>
  <si>
    <t>Other (id=9)</t>
  </si>
  <si>
    <t>Other Savings Type 2: Other $/yr (field_id=10)</t>
  </si>
  <si>
    <t>Wastewater/Sewage (field_id=10)</t>
  </si>
  <si>
    <t>Baseline natural gas use (Legacy) (field_id=10)</t>
  </si>
  <si>
    <t>Distributed Generation (technology_type_id=10)</t>
  </si>
  <si>
    <t>Waste Water System Infrastructure (measure=10)</t>
  </si>
  <si>
    <t>Water savings Kgal/yr (field_id=11)</t>
  </si>
  <si>
    <t>Baseline wasterwater/sewer use (field_id=11)</t>
  </si>
  <si>
    <t>Renewable Energy Systems (technology_type_id=11)</t>
  </si>
  <si>
    <t>Water Meter Replacement (measure=11)</t>
  </si>
  <si>
    <t>Water savings $/yr (field_id=12)</t>
  </si>
  <si>
    <t>Energy/Utility Distribution Systems (technology_type_id=12)</t>
  </si>
  <si>
    <t>Other (measure=12)</t>
  </si>
  <si>
    <t>O&amp;M cost savings $/yr (field_id=13)</t>
  </si>
  <si>
    <t>Water and Sewer Conservation Systems (technology_type_id=13)</t>
  </si>
  <si>
    <t>Other non-energy cost savings $/yr (field_id=14)</t>
  </si>
  <si>
    <t>Electrical Peak Shaving/Load Shifting (technology_type_id=14)</t>
  </si>
  <si>
    <t>Other avoided cost savings $/yr (field_id=15)</t>
  </si>
  <si>
    <t>Energy Cost Reduction Through Rate Adjustments (technology_type_id=15)</t>
  </si>
  <si>
    <t>Wastewater/Sewage savings Kgal/yr (field_id=16)</t>
  </si>
  <si>
    <t>Energy Related Process Improvements (technology_type_id=16)</t>
  </si>
  <si>
    <t>Wastewater/Sewage savings $/yr (field_id=17)</t>
  </si>
  <si>
    <t>Commissioning (technology_type_id=17)</t>
  </si>
  <si>
    <t>Advanced Metering Systems (technology_type_id=18)</t>
  </si>
  <si>
    <t>Appliance/Plug load reductions (technology_type_id=19)</t>
  </si>
  <si>
    <t>Future/Other ECMs (technology_type_id=20)</t>
  </si>
  <si>
    <t>ECM Category</t>
  </si>
  <si>
    <t>Boiler Plant Improvements</t>
  </si>
  <si>
    <t>Chiller Plant Improvements</t>
  </si>
  <si>
    <t>Building Automation Systems/Energy Management Control Systems (EMCS)</t>
  </si>
  <si>
    <t>Heating, Ventilating, and Air Conditioning</t>
  </si>
  <si>
    <t>Lighting Improvements</t>
  </si>
  <si>
    <t>Building Envelope Modifications</t>
  </si>
  <si>
    <t>Chilled Water, Hot Water, and Steam Distribution Systems</t>
  </si>
  <si>
    <t>Electric Motors and Drives</t>
  </si>
  <si>
    <t>Refrigeration</t>
  </si>
  <si>
    <t>Distributed Generation</t>
  </si>
  <si>
    <t>Renewable Energy Systems</t>
  </si>
  <si>
    <t>Energy/Utility Distribution Systems</t>
  </si>
  <si>
    <t>Water and Sewer Conservation Systems</t>
  </si>
  <si>
    <t>Electrical Peak Shaving/Load Shifting</t>
  </si>
  <si>
    <t>Energy Cost Reduction Through Rate Adjustments</t>
  </si>
  <si>
    <t>Energy Related Process Improvements</t>
  </si>
  <si>
    <t xml:space="preserve">Commissioning </t>
  </si>
  <si>
    <t>Advanced Metering Systems</t>
  </si>
  <si>
    <t>Appliance/Plug-load reductions</t>
  </si>
  <si>
    <t>Future/Other ECMs</t>
  </si>
  <si>
    <t>-</t>
  </si>
  <si>
    <t>Old DB field ID number</t>
  </si>
  <si>
    <t>Old DB Field Name (json file)</t>
  </si>
  <si>
    <t>Description for pop-up tooltip (yellow highlights = need to revise)</t>
  </si>
  <si>
    <t>NAESCO - required in template</t>
  </si>
  <si>
    <t>Data Type</t>
  </si>
  <si>
    <t>Project Agreement Type=Guaranteed Savings
Location: Data Template Sheet or M&amp;V Module UI</t>
  </si>
  <si>
    <t xml:space="preserve">Project Agreement Type=Guaranteed Savings
Data Template Cell
</t>
  </si>
  <si>
    <t>Project Agreement Type=UESC
Location: Data Template Sheet or M&amp;V Module UI
Just the ones that are different</t>
  </si>
  <si>
    <t>Project Agreement Type=UESC
Data Template Cell</t>
  </si>
  <si>
    <t>ePX Field Name for Data Export - if different from ePB Field Name for Data Export</t>
  </si>
  <si>
    <t>Template=ePX. Location: Data Template Cell</t>
  </si>
  <si>
    <t>Level of Information</t>
  </si>
  <si>
    <t>Sub Level/Section - for OLD 2.0 UI Display</t>
  </si>
  <si>
    <t>Formula for prepopulation of M&amp;V fields</t>
  </si>
  <si>
    <t>Formula for Calculation</t>
  </si>
  <si>
    <t>Source</t>
  </si>
  <si>
    <t>Display in UI</t>
  </si>
  <si>
    <t>UI "Page"</t>
  </si>
  <si>
    <t>Notes</t>
  </si>
  <si>
    <t>Field Labels for UI (See column BD for Analysis/Reporting field labels)</t>
  </si>
  <si>
    <t>UESC Field Labels (where applicable)</t>
  </si>
  <si>
    <t>Include in A&amp;R Module 
0=no
1=First priority
2=2nd priority</t>
  </si>
  <si>
    <t>Category in A&amp;R module</t>
  </si>
  <si>
    <t>Field units for displaying in table or plot results (symbol)</t>
  </si>
  <si>
    <t>"Group by" field? (indicates if field is eligible for the "group by" category in A&amp;R).
N/A = field is not included in A&amp;R,
0 = No
1 = Yes</t>
  </si>
  <si>
    <t>Description for Reporting Feature Rollover Tooltip (Need to review and update for the new Design)</t>
  </si>
  <si>
    <t>Field ID</t>
  </si>
  <si>
    <t>DB Schema</t>
  </si>
  <si>
    <t>DB Table</t>
  </si>
  <si>
    <t>DB Field</t>
  </si>
  <si>
    <t>Key #1</t>
  </si>
  <si>
    <t>UI Path</t>
  </si>
  <si>
    <t>Link to Project Table</t>
  </si>
  <si>
    <t>Link to Project Table Field</t>
  </si>
  <si>
    <t>ECM Link Field</t>
  </si>
  <si>
    <t>ECM UUID</t>
  </si>
  <si>
    <t>Lookup Table Type</t>
  </si>
  <si>
    <t>Lookup Table Schema</t>
  </si>
  <si>
    <t>Lookup Table Name</t>
  </si>
  <si>
    <t>Has Performance Period Year</t>
  </si>
  <si>
    <t>NOTES ("ePX" indicates that the field is included for ePX projects; in some cases they are also ePB fields and in some cases they are not)</t>
  </si>
  <si>
    <t>download_projects</t>
  </si>
  <si>
    <t>download_measures</t>
  </si>
  <si>
    <t>download_yearlycashflow</t>
  </si>
  <si>
    <t>download_escrates</t>
  </si>
  <si>
    <t>download_ppexpenses</t>
  </si>
  <si>
    <t>download_cancceilings</t>
  </si>
  <si>
    <t>download_MV</t>
  </si>
  <si>
    <t>download_MV_ecm</t>
  </si>
  <si>
    <t>download_accred</t>
  </si>
  <si>
    <t>NAESCO - required template fields</t>
  </si>
  <si>
    <t>epx_download_projects</t>
  </si>
  <si>
    <t>epx_download_MV (Fields from ePX M&amp;V temlate)</t>
  </si>
  <si>
    <t>Shankar's old M&amp;V Data Dictionary DB Field Name - how Biju programmed it for entry</t>
  </si>
  <si>
    <r>
      <t/>
    </r>
    <r>
      <rPr>
        <b/>
        <sz val="11"/>
        <color rgb="FFff0000"/>
        <rFont val="Calibri"/>
        <family val="2"/>
        <scheme val="minor"/>
      </rPr>
      <t xml:space="preserve">Field Labels for A/R UI - eProject Builder </t>
    </r>
    <r>
      <rPr>
        <b/>
        <sz val="11"/>
        <color rgb="FF0000ff"/>
        <rFont val="Calibri"/>
        <family val="2"/>
        <scheme val="minor"/>
      </rPr>
      <t xml:space="preserve">HS Edits (Note that fields that have been edited from their original name are shaded in blue). Original field names can be found in column T. </t>
    </r>
  </si>
  <si>
    <t>Field Labels for A/R - ePX Fields</t>
  </si>
  <si>
    <r>
      <t/>
    </r>
    <r>
      <rPr>
        <b/>
        <sz val="11"/>
        <color rgb="FFff0000"/>
        <rFont val="Calibri"/>
        <family val="2"/>
        <scheme val="minor"/>
      </rPr>
      <t xml:space="preserve">Field Labels for A/R UI for users with a combination of ePB and ePX projects - </t>
    </r>
    <r>
      <rPr>
        <b/>
        <i/>
        <sz val="11"/>
        <color rgb="FF0000ff"/>
        <rFont val="Calibri"/>
        <family val="2"/>
        <scheme val="minor"/>
      </rPr>
      <t xml:space="preserve">(blue </t>
    </r>
    <r>
      <rPr>
        <b/>
        <sz val="11"/>
        <color rgb="FFff0000"/>
        <rFont val="Calibri"/>
        <family val="2"/>
        <scheme val="minor"/>
      </rPr>
      <t xml:space="preserve">field names indicate if they are different from at least one columns (BG and BF). </t>
    </r>
    <r>
      <rPr>
        <b/>
        <sz val="11"/>
        <color rgb="FF000000"/>
        <rFont val="Calibri"/>
        <family val="2"/>
        <scheme val="minor"/>
      </rPr>
      <t xml:space="preserve">Black </t>
    </r>
    <r>
      <rPr>
        <b/>
        <sz val="11"/>
        <color rgb="FFff0000"/>
        <rFont val="Calibri"/>
        <family val="2"/>
        <scheme val="minor"/>
      </rPr>
      <t>= same for ePB and ePX OR the fields are only in ePB OR ePX - but not both</t>
    </r>
  </si>
  <si>
    <t>Has Performance Year? (For A&amp;R)</t>
  </si>
  <si>
    <t>Analysis/Reporting Filter 1=ePB only; 2=ePX only; 3=Both</t>
  </si>
  <si>
    <t>GuarAnnCostSavings</t>
  </si>
  <si>
    <t>Annual Guaranteed Cost Savings ($)</t>
  </si>
  <si>
    <t>Integer (Dollars)</t>
  </si>
  <si>
    <t>Schedule-1</t>
  </si>
  <si>
    <t>C9 through C33</t>
  </si>
  <si>
    <t>Schedule-1u</t>
  </si>
  <si>
    <t>ann_guar_cost_savings</t>
  </si>
  <si>
    <t>Project</t>
  </si>
  <si>
    <t>Baseline &amp; Savings</t>
  </si>
  <si>
    <t>Derived</t>
  </si>
  <si>
    <t>Annual Guaranteed Cost Savings</t>
  </si>
  <si>
    <t>Guaranteed Savings</t>
  </si>
  <si>
    <t>Dollar equivalent of annual guaranteed savings</t>
  </si>
  <si>
    <t>pp_guar_cost_savings</t>
  </si>
  <si>
    <t>calc</t>
  </si>
  <si>
    <t>cost_savings_performance_period_totals</t>
  </si>
  <si>
    <t>guar_cost_savings</t>
  </si>
  <si>
    <t>calc.calculated_value_details</t>
  </si>
  <si>
    <t>Yes</t>
  </si>
  <si>
    <t>epx</t>
  </si>
  <si>
    <t>MVPerfPeriodExp</t>
  </si>
  <si>
    <t>M&amp;V -  Performance Period Expense (Annual)</t>
  </si>
  <si>
    <t>Annual measurement and verification expenses during the performance period ($).</t>
  </si>
  <si>
    <t>Schedule-3</t>
  </si>
  <si>
    <t>D15 through AB15</t>
  </si>
  <si>
    <t>first_year_mv_price</t>
  </si>
  <si>
    <t>Costs &amp; Financials</t>
  </si>
  <si>
    <t>Independent</t>
  </si>
  <si>
    <t>Yes in UI-Required</t>
  </si>
  <si>
    <t xml:space="preserve">Annual M&amp;V -  Perform. Period Expense </t>
  </si>
  <si>
    <t xml:space="preserve">Annual Performance Assurance-  Perform. Period Expense </t>
  </si>
  <si>
    <t>Performance Period Expenses &amp; Payments</t>
  </si>
  <si>
    <t>$</t>
  </si>
  <si>
    <t>Annual measurement and verification expenses during the performance period ($)</t>
  </si>
  <si>
    <t>pp_mv</t>
  </si>
  <si>
    <t>project</t>
  </si>
  <si>
    <t>performance_period</t>
  </si>
  <si>
    <t>measurement_verification</t>
  </si>
  <si>
    <t>project.data_record</t>
  </si>
  <si>
    <t>epx - different name</t>
  </si>
  <si>
    <t>Annual M&amp;V/PA -  Performance Period Expense ($)</t>
  </si>
  <si>
    <t>First Year M&amp;V Price ($)</t>
  </si>
  <si>
    <t>Annual M&amp;V Expense/First Year M&amp;V Price ($)</t>
  </si>
  <si>
    <t>EstAnnCostSavings</t>
  </si>
  <si>
    <t>Annual Estimated Cost Savings ($)</t>
  </si>
  <si>
    <t>Calculated field:  Total projected dollar equivalent of resource savings for the year INCLUDING O&amp;M and other non-energy resource savings by year of contract ($).</t>
  </si>
  <si>
    <t>B9 through B33</t>
  </si>
  <si>
    <t>ann_est_cost_savings</t>
  </si>
  <si>
    <t>Total Estim. Annual Cost Savings</t>
  </si>
  <si>
    <t>Estimated Savings</t>
  </si>
  <si>
    <t>Calculated field:  Dollar equivalent of estimated resource savings for the year INCLUDING O&amp;M and other non-energy resource savings by year of contract ($)</t>
  </si>
  <si>
    <t>pp_est_cost_savings</t>
  </si>
  <si>
    <t>est_cost_savings</t>
  </si>
  <si>
    <t>Total Estimated Project Annual Cost Savings ($)</t>
  </si>
  <si>
    <t>10050C</t>
  </si>
  <si>
    <t>EscRateElecDemand</t>
  </si>
  <si>
    <t>Escalation rates- Electric Demand</t>
  </si>
  <si>
    <t>Annual escalation rate for electricity demand (%).</t>
  </si>
  <si>
    <t>Percentage</t>
  </si>
  <si>
    <t>Annual Escalation Rates</t>
  </si>
  <si>
    <t>C5 through C29</t>
  </si>
  <si>
    <t>Escalation Rates</t>
  </si>
  <si>
    <t>Yes in UI-Optional</t>
  </si>
  <si>
    <t>Escalation Rates- Electric Demand</t>
  </si>
  <si>
    <t>%</t>
  </si>
  <si>
    <t>Annual escalation rate for electricity demand (%)</t>
  </si>
  <si>
    <t>esc_rate_elec_demand</t>
  </si>
  <si>
    <t>escalation_rates</t>
  </si>
  <si>
    <t>value</t>
  </si>
  <si>
    <t>Escalation Rates- Electric Demand (%)</t>
  </si>
  <si>
    <t>10050B</t>
  </si>
  <si>
    <t>EscRateElec</t>
  </si>
  <si>
    <t>Escalation rates- electricity</t>
  </si>
  <si>
    <t>Annual escalation rate for electricity savings (%).</t>
  </si>
  <si>
    <t>B5 through B29</t>
  </si>
  <si>
    <t>Escalation Rates- Electricity</t>
  </si>
  <si>
    <t>Annual escalation rate for electricity savings (%)</t>
  </si>
  <si>
    <t>esc_rate_elec_use</t>
  </si>
  <si>
    <t>Escalation Rates- Electricity (%)</t>
  </si>
  <si>
    <t>10050D</t>
  </si>
  <si>
    <t>EscRateNG</t>
  </si>
  <si>
    <t>Escalation rates- Natural Gas</t>
  </si>
  <si>
    <t>Annual escalation rate for natural gas savings (%).</t>
  </si>
  <si>
    <t>D5 through D29</t>
  </si>
  <si>
    <t>Escalation Rates- NG</t>
  </si>
  <si>
    <t>Annual escalation rate for natural gas savings (%)</t>
  </si>
  <si>
    <t>esc_rate_ng</t>
  </si>
  <si>
    <t>Escalation Rates- Natural Gas (%)</t>
  </si>
  <si>
    <t>10050H</t>
  </si>
  <si>
    <t>EscRateOM</t>
  </si>
  <si>
    <t>Escalation rates- O&amp;M</t>
  </si>
  <si>
    <t>Annual escalation rate for O&amp;M savings (%).</t>
  </si>
  <si>
    <t>I5 through I29</t>
  </si>
  <si>
    <t>Escalation Rates- O&amp;M</t>
  </si>
  <si>
    <t>Annual escalation rate for O&amp;M savings (%)</t>
  </si>
  <si>
    <t>esc_rate_om</t>
  </si>
  <si>
    <t>Escalation Rates- O&amp;M (%)</t>
  </si>
  <si>
    <t>10050F</t>
  </si>
  <si>
    <t>EscRateOtherSavings1</t>
  </si>
  <si>
    <t>Escalation rates- Other 1</t>
  </si>
  <si>
    <t>Annual escalation rate for other savings 1 (%).</t>
  </si>
  <si>
    <t>E5 through E29</t>
  </si>
  <si>
    <t>Escalation Rates- Other Savings 1</t>
  </si>
  <si>
    <t>Annual escalation rate for other savings 1 (%)</t>
  </si>
  <si>
    <t>esc_rate_other_1</t>
  </si>
  <si>
    <t>Escalation Rates- Other 1 (%)</t>
  </si>
  <si>
    <t>10050G</t>
  </si>
  <si>
    <t>EscRateOtherSavings2</t>
  </si>
  <si>
    <t>Escalation rates- Other 2</t>
  </si>
  <si>
    <t>Annual escalation rate for other savings 2 (%).</t>
  </si>
  <si>
    <t>F5 through F29</t>
  </si>
  <si>
    <t>Escalation Rates- Other Savings  2</t>
  </si>
  <si>
    <t>Annual escalation rate for other savings 2 (%)</t>
  </si>
  <si>
    <t>esc_rate_other_2</t>
  </si>
  <si>
    <t>Escalation Rates- Other 2 (%)</t>
  </si>
  <si>
    <t>10050I</t>
  </si>
  <si>
    <t>EscRateNonEnergySavings</t>
  </si>
  <si>
    <t>Escalation rates- Other Non-Energy Savings</t>
  </si>
  <si>
    <t>Annual escalation rate for non-energy savings (%).</t>
  </si>
  <si>
    <t>J5 through J29</t>
  </si>
  <si>
    <t>Escalation Rates- Other Non-Energy Savings</t>
  </si>
  <si>
    <t>Annual escalation rate for non-energy savings (%)</t>
  </si>
  <si>
    <t>esc_rate_other_ne</t>
  </si>
  <si>
    <t>Escalation Rates- Other Non-Energy Savings (%)</t>
  </si>
  <si>
    <t>10050E</t>
  </si>
  <si>
    <t>EscRateWater</t>
  </si>
  <si>
    <t>Escalation rates- Water</t>
  </si>
  <si>
    <t>Annual escalation rate for water savings (%).</t>
  </si>
  <si>
    <t>G5 through G29</t>
  </si>
  <si>
    <t>Escalation Rates- Water</t>
  </si>
  <si>
    <t>Annual escalation rate for water savings (%)</t>
  </si>
  <si>
    <t>esc_rate_water</t>
  </si>
  <si>
    <t>Escalation Rates- Water (%)</t>
  </si>
  <si>
    <t>10181C</t>
  </si>
  <si>
    <t>AnnRetainedSavings</t>
  </si>
  <si>
    <t>Annual Calculated Dollar Savings Retained by Customer ($)</t>
  </si>
  <si>
    <t>Annual dollar cost savings retained during performance period ($).</t>
  </si>
  <si>
    <t>E9 through E33</t>
  </si>
  <si>
    <t>D9 through D33</t>
  </si>
  <si>
    <t>Same as 10048L - but this is the one in Schedule 1</t>
  </si>
  <si>
    <t>Annual Dollar Savings Retained by Customer</t>
  </si>
  <si>
    <t>Annual Dollar cost savings Retained during performance period ($)</t>
  </si>
  <si>
    <t>pp_retained_savings</t>
  </si>
  <si>
    <t>retained_savings</t>
  </si>
  <si>
    <t>Annual Dollar Savings Retained by Customer ($)</t>
  </si>
  <si>
    <t>10159P</t>
  </si>
  <si>
    <t>AnnContPayments</t>
  </si>
  <si>
    <t>Annual Contract Payments ($)</t>
  </si>
  <si>
    <t>Annual contract payments for the contract term</t>
  </si>
  <si>
    <t>Need to change description in user guide and UI  to: "Annual payment for each year of the contract period"</t>
  </si>
  <si>
    <t>Payments</t>
  </si>
  <si>
    <t>pp_payments</t>
  </si>
  <si>
    <t>annual_payments</t>
  </si>
  <si>
    <t>Total Estimated Annual Cost Savings, incl. Interest ($</t>
  </si>
  <si>
    <t>Total Estimated Annual Cost Savings, incl. Interest ($)</t>
  </si>
  <si>
    <t>10048L</t>
  </si>
  <si>
    <t>RetainedSavings</t>
  </si>
  <si>
    <t>Dollar savings retained by customer</t>
  </si>
  <si>
    <t>Amount of guaranteed dollar savings retained by Customer. Usually this is $1 for ESPC.</t>
  </si>
  <si>
    <t>D7 through AB7</t>
  </si>
  <si>
    <t>Same as 10048L - but this one is in Schedule 3</t>
  </si>
  <si>
    <t>Dollar Savings Retained</t>
  </si>
  <si>
    <t>N/A</t>
  </si>
  <si>
    <t>?</t>
  </si>
  <si>
    <t>Interest</t>
  </si>
  <si>
    <t>Interest (Annual)</t>
  </si>
  <si>
    <t>Annual interest payments ($).</t>
  </si>
  <si>
    <t>D8 through AB8</t>
  </si>
  <si>
    <t>Annual Interest</t>
  </si>
  <si>
    <t>Annual interest payments ($)</t>
  </si>
  <si>
    <t>pp_interest</t>
  </si>
  <si>
    <t>amortization_year</t>
  </si>
  <si>
    <t>interest</t>
  </si>
  <si>
    <t>Annual Interest ($)</t>
  </si>
  <si>
    <t>MaintPerfPeriodExp</t>
  </si>
  <si>
    <t>Maintenance -  Performance Period Expense (Annual)</t>
  </si>
  <si>
    <t>Annual maintenance expenses to the customer during the performance period ($).</t>
  </si>
  <si>
    <t>D13 through AB13</t>
  </si>
  <si>
    <t>Annual Perf Period Maintainance Expense</t>
  </si>
  <si>
    <t>Annual maintenance expenses ($) during the performance period</t>
  </si>
  <si>
    <t>maintenance_perf_period_expense</t>
  </si>
  <si>
    <t>performance_period_expense</t>
  </si>
  <si>
    <t>Maintenance - Performance Period Expense (Annual) ($)</t>
  </si>
  <si>
    <t>MgmtPerfPeriodExp</t>
  </si>
  <si>
    <t>Mgmt/Admin -Performance Period Expense (Annual)</t>
  </si>
  <si>
    <t>Annual management &amp; administrative expenses to the customer during the performance period ($).</t>
  </si>
  <si>
    <t>D11 through AB11</t>
  </si>
  <si>
    <t>Annual Mgmt./Admin. - Performance Period Expense</t>
  </si>
  <si>
    <t>Annual expenses for management/admin. during the performance period ($)</t>
  </si>
  <si>
    <t>management_perf_period_expense</t>
  </si>
  <si>
    <t>Management/Admin -  Performance Period Expense (Annual) ($)</t>
  </si>
  <si>
    <t>OpPerfPeriodExp</t>
  </si>
  <si>
    <t>Operation - Performance Period Expense (Annual)</t>
  </si>
  <si>
    <t>Annual operations expenses during the performance period ($)</t>
  </si>
  <si>
    <t>D12 through AB12</t>
  </si>
  <si>
    <t xml:space="preserve">Annual Operation - Perform. Period Expense </t>
  </si>
  <si>
    <t>Annual operations expenses during the performance period ($).</t>
  </si>
  <si>
    <t>operation_perf_period_expense</t>
  </si>
  <si>
    <t>Operation - Performance Period Expense (Annual) ($)</t>
  </si>
  <si>
    <t>Other1PerfPeriodExp</t>
  </si>
  <si>
    <t>Other 1 -  Performance Period Expense (Annual)</t>
  </si>
  <si>
    <t>Other 1 performance period expenses ($).</t>
  </si>
  <si>
    <t>D16 through AB16</t>
  </si>
  <si>
    <t>Other 1 -  Perform. Period Expense (Annual)</t>
  </si>
  <si>
    <t>Other 1 performance period expenses ($)</t>
  </si>
  <si>
    <t>other_1_perf_period_expense</t>
  </si>
  <si>
    <t>Other 1 -  Performance Period Expense (Annual) ($)</t>
  </si>
  <si>
    <t>10086A</t>
  </si>
  <si>
    <t>PPOther1Type</t>
  </si>
  <si>
    <t>Other 1 -  Performance Period Expense (Type)</t>
  </si>
  <si>
    <t>Type of other performance period expense 1 (choose from list): Permits and Licenses, Insurance, Property Taxes, Other</t>
  </si>
  <si>
    <t>List (Permits and Licenses, Insurance, Property Taxes, Other)</t>
  </si>
  <si>
    <t>B16</t>
  </si>
  <si>
    <t>Other 1 -  Perform. Period Expense (Type)</t>
  </si>
  <si>
    <t>Type of other performance period expense 1</t>
  </si>
  <si>
    <t>pp_other_1_type</t>
  </si>
  <si>
    <t>other_pp_expense</t>
  </si>
  <si>
    <t>other_type_1</t>
  </si>
  <si>
    <t>Other2PerfPeriodExp</t>
  </si>
  <si>
    <t>Other 2 -  Performance Period Expense (Annual)</t>
  </si>
  <si>
    <t>Other 2 performance period expenses ($).</t>
  </si>
  <si>
    <t>D17 through AB17</t>
  </si>
  <si>
    <t>Other 2 -  Perform. Period Expense (Annual)</t>
  </si>
  <si>
    <t>Other 2 performance period expenses ($)</t>
  </si>
  <si>
    <t>other_2_perf_period_expense</t>
  </si>
  <si>
    <t>Other 2 -  Performance Period Expense (Annual) ($)</t>
  </si>
  <si>
    <t>10087A</t>
  </si>
  <si>
    <t>PPOther2Type</t>
  </si>
  <si>
    <t>Other 2 -  Performance Period Expense (Type)</t>
  </si>
  <si>
    <t>Type of other performance period expense 2 (choose from list): Permits and Licenses, Insurance, Property Taxes, Other</t>
  </si>
  <si>
    <t>B17</t>
  </si>
  <si>
    <t>Other 2 -  Perform. Period Expense (Type)</t>
  </si>
  <si>
    <t>Type of other performance period expense 2 (choose from list)</t>
  </si>
  <si>
    <t>pp_other_2_type</t>
  </si>
  <si>
    <t>other_type_2</t>
  </si>
  <si>
    <t>10092C</t>
  </si>
  <si>
    <t>PerfPeriodMarkupAmt</t>
  </si>
  <si>
    <t>Performance Period Delivery Charge ($)</t>
  </si>
  <si>
    <t>Calculated field:  Dollar value based on percentage of performance period margin ($).</t>
  </si>
  <si>
    <t>D20 through AB20</t>
  </si>
  <si>
    <t>Template 1.99 renamed from "Performance Period Markup" to "Performance Period Delivery Charge" - is this still the correct DB field name?</t>
  </si>
  <si>
    <t>Perform. Period Markup Amount</t>
  </si>
  <si>
    <t>Calculated field:  Dollar value based on percentage of performance period margin ($)</t>
  </si>
  <si>
    <t>pp_delivery_charge</t>
  </si>
  <si>
    <t>performance_period_item</t>
  </si>
  <si>
    <t>delivery_charge</t>
  </si>
  <si>
    <t>Performance Period Markup Amount ($)</t>
  </si>
  <si>
    <t>10092B</t>
  </si>
  <si>
    <t>PerfPeriodMarkupPct</t>
  </si>
  <si>
    <t>Performance Period Delivery Percentage (%)</t>
  </si>
  <si>
    <t>Margin represents overall performance period margin including indirect costs and ESCO profit (%).</t>
  </si>
  <si>
    <t>D19 through AB19</t>
  </si>
  <si>
    <t>Perform. Period Markup Percentage</t>
  </si>
  <si>
    <t>Margin represents overall performance period margin including indirect costs and ESCO profit (%)</t>
  </si>
  <si>
    <t>pp_delivery_charge_pct</t>
  </si>
  <si>
    <t>delivery_charge_pct</t>
  </si>
  <si>
    <t>Performance Period Markup Percentage (%)</t>
  </si>
  <si>
    <t>Incentives</t>
  </si>
  <si>
    <t>Performance Period Incentives and Other Payments</t>
  </si>
  <si>
    <t>Incentives (e.g., rebates, RECs payments, DR proceeds, revenue generation) expected to accrue during the performance period. Some may be recurring.</t>
  </si>
  <si>
    <t>D6 through AB6</t>
  </si>
  <si>
    <t>Perform. Period Incentives and Other Payments</t>
  </si>
  <si>
    <t>Incentives (e.g., rebates, RECs payments, or DR proceeds) expected to accrue during the performance period. Some may be recurring</t>
  </si>
  <si>
    <t>pp_incentives_other_pay</t>
  </si>
  <si>
    <t>incentives_other_payments</t>
  </si>
  <si>
    <t>Performance Period Incentives and Other Payments ($)</t>
  </si>
  <si>
    <t>PrincipalRepayment</t>
  </si>
  <si>
    <t>Principal Repayment (Annual)</t>
  </si>
  <si>
    <t>Annual amount repaid to principal ($).</t>
  </si>
  <si>
    <t>D5 through AB5</t>
  </si>
  <si>
    <t xml:space="preserve"> Annual Principal Repayment</t>
  </si>
  <si>
    <t>Annual amount repaid to principal ($)</t>
  </si>
  <si>
    <t>pp_principal</t>
  </si>
  <si>
    <t>principal</t>
  </si>
  <si>
    <t xml:space="preserve"> Annual Principal Repayment ($)</t>
  </si>
  <si>
    <t>RepairReplPerfPeriodExp</t>
  </si>
  <si>
    <t>Repair and Replacement -  Performance Period Expense (Annual)</t>
  </si>
  <si>
    <t>Annual repair and replacement expenses during the performance period ($).</t>
  </si>
  <si>
    <t>D14 through AB14</t>
  </si>
  <si>
    <t>Annual Repair and Replacement -  Perform. Period Expense</t>
  </si>
  <si>
    <t>Annual repair and replacement expenses during the performance period ($)</t>
  </si>
  <si>
    <t>repair_perf_period_expense</t>
  </si>
  <si>
    <t>Repair and Replacement -  Performance Period Expense (Annual) ($)</t>
  </si>
  <si>
    <t>SubTotAppMarkup</t>
  </si>
  <si>
    <t>Subtotal of Performance Period Expense (including indirect costs)</t>
  </si>
  <si>
    <t>Calculated field:  Subtotal of performance period expenses before application of indirect rates ($).</t>
  </si>
  <si>
    <t>D18 through AB18</t>
  </si>
  <si>
    <t>fixed the description which said "subtotal of per period exp AFTER application of indirect rates" - which was incorrect</t>
  </si>
  <si>
    <t>Subtotal of Perform. Period Expense (including indirect costs)</t>
  </si>
  <si>
    <t>Calculated field:  Subtotal of performance period expenses after application of indirect rates ($)</t>
  </si>
  <si>
    <t>pp_subtotal_before_deliver</t>
  </si>
  <si>
    <t>subtotal_before_delivery</t>
  </si>
  <si>
    <t>Subtotal of Performance Period Expense (including indirect costs) ($)</t>
  </si>
  <si>
    <t>TotDebtService</t>
  </si>
  <si>
    <t>Total Debt Service (Annual)</t>
  </si>
  <si>
    <t>Calculated field:  Annual amount repaid to principal - annual incentive payment + annual interest payment ($).</t>
  </si>
  <si>
    <t>D9 through AB9</t>
  </si>
  <si>
    <t>Total Annual Debt Service</t>
  </si>
  <si>
    <t>Calculated field:  Annual amount repaid to principal - annual incentive payment + annual interest payment ($)</t>
  </si>
  <si>
    <t>pp_total_debt_service</t>
  </si>
  <si>
    <t>total_debt_service</t>
  </si>
  <si>
    <t>Total Annual Debt Service ($)</t>
  </si>
  <si>
    <t>TotTotPerfPeriodExp</t>
  </si>
  <si>
    <t>TOTAL of Annual Performance Period Expenses</t>
  </si>
  <si>
    <t>Calculated field: Total of annual performance period expenses ($).</t>
  </si>
  <si>
    <t>x</t>
  </si>
  <si>
    <t>AC21</t>
  </si>
  <si>
    <t>Total Perform. Period Expenses</t>
  </si>
  <si>
    <t>Calculated field: Total of annual performance period expenses ($) for the contract term</t>
  </si>
  <si>
    <t>pp_item_total_payments</t>
  </si>
  <si>
    <t>total_payments</t>
  </si>
  <si>
    <t>/portfolio/{projectId}/performance-period</t>
  </si>
  <si>
    <t>Total Performance Period Expenses ($)</t>
  </si>
  <si>
    <t>TotSubTotAppMarkup</t>
  </si>
  <si>
    <t xml:space="preserve">TOTAL of Annual Subtotals of Performance Period Expenses </t>
  </si>
  <si>
    <t>Calculated field:  Total of all annual performance period expenses before application of indirect rates for the entire performance period ($).</t>
  </si>
  <si>
    <t>AC18</t>
  </si>
  <si>
    <t>fixed the description</t>
  </si>
  <si>
    <t xml:space="preserve">Total of Annual SubTotals of Perform. Period Expenses </t>
  </si>
  <si>
    <t>Calculated field:  Subtotal of performance period expenses Before Application of Performance Period Delivery Percentage</t>
  </si>
  <si>
    <t>pp_item_before_delivery</t>
  </si>
  <si>
    <t>Total of Annual Subtotals of Performance Period Expenses ($)</t>
  </si>
  <si>
    <t>10092ctn</t>
  </si>
  <si>
    <t>TotPerfPeriodDelCharge</t>
  </si>
  <si>
    <t>TOTAL Performance Period Delivery Charge ($)</t>
  </si>
  <si>
    <t>Total of annual performance period delivery charges (markup)</t>
  </si>
  <si>
    <t>AC20</t>
  </si>
  <si>
    <t>Need to add cell/field for Total Performance Delivery Charge</t>
  </si>
  <si>
    <t xml:space="preserve">Total Performance Period Delivery Charge </t>
  </si>
  <si>
    <t>Total Performance Period Mark-up Expenses</t>
  </si>
  <si>
    <t>pp_item_delivery_charge</t>
  </si>
  <si>
    <t>Total Performance Period Delivery Charge/Mark-up Expense ($)</t>
  </si>
  <si>
    <t>TotPerfPeriodExp</t>
  </si>
  <si>
    <t xml:space="preserve">Total Performance Period Expenses </t>
  </si>
  <si>
    <t>Calculated field: includes all performance period expenses and margin ($)</t>
  </si>
  <si>
    <t>D21 through AB21</t>
  </si>
  <si>
    <t>Need better field name and more accurate description. Where "(Annual)" is placed in the field name is confusing as-is. Also - template calls it Total Performance Period PRICE - not EXPENSES. We need to get this terminology right.</t>
  </si>
  <si>
    <t>Total Performance Period Price (Total Customer Payments for Additional Services)</t>
  </si>
  <si>
    <t>Calculated field: includes all performance period expenses and margin ($) in a given year</t>
  </si>
  <si>
    <t>pp_item_total_price</t>
  </si>
  <si>
    <t>total_price</t>
  </si>
  <si>
    <t>Total Performance Period Price ($)</t>
  </si>
  <si>
    <t>CancCeiling</t>
  </si>
  <si>
    <t>&lt;Month&gt;&lt;Year&gt; Cancellation Ceiling</t>
  </si>
  <si>
    <t>Annual value to cancel project at agency request. Typically comprises sum of remaining loan amount and cancellation penalty ($).</t>
  </si>
  <si>
    <t>Schedule-5</t>
  </si>
  <si>
    <t>C5 through N30</t>
  </si>
  <si>
    <t>Cancellation Ceiling</t>
  </si>
  <si>
    <t>Annual value to cancel project at agency request ($)</t>
  </si>
  <si>
    <t>canc_ceiling</t>
  </si>
  <si>
    <t>cancellation_ceiling</t>
  </si>
  <si>
    <t>ePB Project ID Number Display</t>
  </si>
  <si>
    <t>ePB User-facing project ID number</t>
  </si>
  <si>
    <t>Numeric</t>
  </si>
  <si>
    <t>UI - Projects Summary</t>
  </si>
  <si>
    <t>Characteristics</t>
  </si>
  <si>
    <t>Project ID</t>
  </si>
  <si>
    <t>Project - General</t>
  </si>
  <si>
    <t>ePB Project ID number</t>
  </si>
  <si>
    <t>display_id</t>
  </si>
  <si>
    <t>New field Mike added. This field displays the numeric ePB ID number to users and is the one that should display to users.</t>
  </si>
  <si>
    <t>10006a</t>
  </si>
  <si>
    <t>MVPrfmYear</t>
  </si>
  <si>
    <t>Performance Year</t>
  </si>
  <si>
    <t>Indicate year of the performance period that is being reported</t>
  </si>
  <si>
    <t>M&amp;V Module</t>
  </si>
  <si>
    <t>Key Dates</t>
  </si>
  <si>
    <t>y</t>
  </si>
  <si>
    <t>Project - Key Dates</t>
  </si>
  <si>
    <t>Required for NAESCO</t>
  </si>
  <si>
    <t>M&amp;V</t>
  </si>
  <si>
    <t>mv_year</t>
  </si>
  <si>
    <t>mv</t>
  </si>
  <si>
    <t>year</t>
  </si>
  <si>
    <t>10006i</t>
  </si>
  <si>
    <t>AcceptDate</t>
  </si>
  <si>
    <t>Project Acceptance Date</t>
  </si>
  <si>
    <t>Indicate date project implementation was accepted. Denotes beginning of performance period (mm/dd/yyyy).</t>
  </si>
  <si>
    <t>Date (mm/dd/yyyy)</t>
  </si>
  <si>
    <t>mv_year_acceptance_date</t>
  </si>
  <si>
    <t>mv_dates</t>
  </si>
  <si>
    <t>mv.mv_year</t>
  </si>
  <si>
    <t>10006b</t>
  </si>
  <si>
    <t>MVActivityDate</t>
  </si>
  <si>
    <t>M&amp;V Report Date</t>
  </si>
  <si>
    <t>Indicate date of this annual M &amp; V report submission by the ESCO or other reporting entity (mm/dd/yyyy).</t>
  </si>
  <si>
    <t>mv_report_date</t>
  </si>
  <si>
    <t>M&amp;V/PA Report Submitted Date</t>
  </si>
  <si>
    <t>M&amp;V Report Submitted Date</t>
  </si>
  <si>
    <t>MVAnnRptDD</t>
  </si>
  <si>
    <t>Current Year M&amp;V Report Due Date</t>
  </si>
  <si>
    <t>Due date (mm/dd/yyyy) for the current year M&amp;V report.</t>
  </si>
  <si>
    <t>Contacts</t>
  </si>
  <si>
    <t>M&amp;V Annual Report Due Date</t>
  </si>
  <si>
    <t>mv_due_date</t>
  </si>
  <si>
    <t>M&amp;V/PA Annual Report Due Date</t>
  </si>
  <si>
    <t>10006f</t>
  </si>
  <si>
    <t>PPAppDate</t>
  </si>
  <si>
    <t>M&amp;V Report Approval Date</t>
  </si>
  <si>
    <t>Indicate date contracting officer or customer approved M&amp;V report date</t>
  </si>
  <si>
    <t>PA Report Approval date</t>
  </si>
  <si>
    <t>mv_approval_date</t>
  </si>
  <si>
    <t>M&amp;V/PA Report Approval Date</t>
  </si>
  <si>
    <t>ThrPrtVerRptDate</t>
  </si>
  <si>
    <t>Current Year Third Party Verification Report Date</t>
  </si>
  <si>
    <t>Third Party Verification Report Date for the current year.</t>
  </si>
  <si>
    <t>Third Party Verification Report Date</t>
  </si>
  <si>
    <t>mv_third_party_verify_date</t>
  </si>
  <si>
    <t>Not in MV Data Dictionary?</t>
  </si>
  <si>
    <t>10008a</t>
  </si>
  <si>
    <t>MVSpcInst</t>
  </si>
  <si>
    <t>ESCO M&amp;V Specialist-Institution</t>
  </si>
  <si>
    <t>M&amp;V Specialist's Institution</t>
  </si>
  <si>
    <t>Text: (100 char max)</t>
  </si>
  <si>
    <t>Project - Identification and Characteristics</t>
  </si>
  <si>
    <t>mv_spec_contact_institution</t>
  </si>
  <si>
    <t>mv_contact</t>
  </si>
  <si>
    <t>institution</t>
  </si>
  <si>
    <t>ESCO M&amp;V/PA Specialist-Organization</t>
  </si>
  <si>
    <t>ESCO M&amp;V Specialist-Organization</t>
  </si>
  <si>
    <t>10008b</t>
  </si>
  <si>
    <t>MVSpcName</t>
  </si>
  <si>
    <t>ESCO M&amp;V Specialist-Contact name</t>
  </si>
  <si>
    <t>M&amp;V Specialist's Name</t>
  </si>
  <si>
    <t>mv_spec_contact_name</t>
  </si>
  <si>
    <t>name</t>
  </si>
  <si>
    <t>ESCO M&amp;V/PA Specialist- Name</t>
  </si>
  <si>
    <t>ESCO M&amp;V Specialist- Name</t>
  </si>
  <si>
    <t>MVSpcTitle</t>
  </si>
  <si>
    <t>ESCO M&amp;V Specialist-Contact title</t>
  </si>
  <si>
    <t>M&amp;V Specialist Title</t>
  </si>
  <si>
    <t>mv_spec_contact_title</t>
  </si>
  <si>
    <t>title</t>
  </si>
  <si>
    <t>ESCO M&amp;V/PA Specialist-Job Title</t>
  </si>
  <si>
    <t>ESCO M&amp;V Specialist-Job Title</t>
  </si>
  <si>
    <t>10008d</t>
  </si>
  <si>
    <t>MVSpcPhone</t>
  </si>
  <si>
    <t>ESCO M&amp;V Specialist-Contact phone</t>
  </si>
  <si>
    <t>M&amp;V Specialist's Phone</t>
  </si>
  <si>
    <t>mv_spec_contact_phone</t>
  </si>
  <si>
    <t>phone</t>
  </si>
  <si>
    <t>ESCO M&amp;V/PA Specialist- Phone</t>
  </si>
  <si>
    <t>ESCO M&amp;V Specialist- Phone</t>
  </si>
  <si>
    <t>10008c</t>
  </si>
  <si>
    <t>MVSpcEmail</t>
  </si>
  <si>
    <t>ESCO M&amp;V Specialist-Contact email</t>
  </si>
  <si>
    <t>M&amp;V Specialist's Email</t>
  </si>
  <si>
    <t>mv_spec_contact_email</t>
  </si>
  <si>
    <t>email</t>
  </si>
  <si>
    <t>ESCO M&amp;V/PA Specialist- Email</t>
  </si>
  <si>
    <t>ESCO M&amp;V Specialist- Email</t>
  </si>
  <si>
    <t>10009a</t>
  </si>
  <si>
    <t>OMVInst</t>
  </si>
  <si>
    <t>Other M&amp;V Contact-Institution</t>
  </si>
  <si>
    <t>other_mv_contact_institution</t>
  </si>
  <si>
    <t>Other M&amp;V/PA Contact - Organization</t>
  </si>
  <si>
    <t>10009b</t>
  </si>
  <si>
    <t>OMVName</t>
  </si>
  <si>
    <t>Other M&amp;V Contact-Contact name</t>
  </si>
  <si>
    <t>other_mv_contact_name</t>
  </si>
  <si>
    <t>Other M&amp;V/PAContact - Name</t>
  </si>
  <si>
    <t>OMVTitle</t>
  </si>
  <si>
    <t>Other M&amp;V Contact-Contact title</t>
  </si>
  <si>
    <t>other_mv_contact_title</t>
  </si>
  <si>
    <t>Other M&amp;V/PA Contact- Title</t>
  </si>
  <si>
    <t>10009d</t>
  </si>
  <si>
    <t>OMVPhone</t>
  </si>
  <si>
    <t>Other M&amp;V Contact-Contact phone</t>
  </si>
  <si>
    <t>other_mv_contact_phone</t>
  </si>
  <si>
    <t>Other M&amp;V/PA Contact - Phone</t>
  </si>
  <si>
    <t>10009c</t>
  </si>
  <si>
    <t>OMVEmail</t>
  </si>
  <si>
    <t>Other M&amp;V Contact-Contact email</t>
  </si>
  <si>
    <t>other_mv_contact_email</t>
  </si>
  <si>
    <t>Other M&amp;V/PA Contact - Email</t>
  </si>
  <si>
    <t>10007b</t>
  </si>
  <si>
    <t>VrfcBody</t>
  </si>
  <si>
    <t>Third Party Verifier-Institution</t>
  </si>
  <si>
    <t>Indicate which third party institution that verified the M&amp;V report</t>
  </si>
  <si>
    <t>Text</t>
  </si>
  <si>
    <t>verifier_contact_institution</t>
  </si>
  <si>
    <t>ThrPrtVerInst</t>
  </si>
  <si>
    <t>Third Party Verifier-Organization</t>
  </si>
  <si>
    <t>ThrPrtVerName</t>
  </si>
  <si>
    <t>Third Party Verifier-Contact name</t>
  </si>
  <si>
    <t>verifier_contact_name</t>
  </si>
  <si>
    <t>Third Party Verifier-Contact Name</t>
  </si>
  <si>
    <t>ThrPrtVerTitle</t>
  </si>
  <si>
    <t>Third Party Verifier-Contact title</t>
  </si>
  <si>
    <t>verifier_contact_title</t>
  </si>
  <si>
    <t>Third Party Verifier-Contact Title</t>
  </si>
  <si>
    <t>ThrPrtVerEmail</t>
  </si>
  <si>
    <t>Third Party Verifier-Contact email</t>
  </si>
  <si>
    <t>verifier_contact_email</t>
  </si>
  <si>
    <t>Third Party Verifier-Contact Email</t>
  </si>
  <si>
    <t>ThrPrtVerPhone</t>
  </si>
  <si>
    <t>Third Party Verifier-Contact phone</t>
  </si>
  <si>
    <t>verifier_contact_phone</t>
  </si>
  <si>
    <t>Third Party Verifier-Contact Phone</t>
  </si>
  <si>
    <t>RptTotSavingsAmt</t>
  </si>
  <si>
    <t>Year N-Total Verified (Expected) annual cost savings</t>
  </si>
  <si>
    <t>Annual Reported total cost savings ($)</t>
  </si>
  <si>
    <t>Savings</t>
  </si>
  <si>
    <t>RptProjLostCostAmtESCO+RptProjLostEngyESCO+RptProjNGSavingsMMBtu+RptProjOther1EnergySavingsMMBtu+RptProjOtherAvoidedCostAmt+RptProjWaterSavingsAmt+</t>
  </si>
  <si>
    <t>Independent/Calculated</t>
  </si>
  <si>
    <t>n - available in a report</t>
  </si>
  <si>
    <t>Project - Verified Savings</t>
  </si>
  <si>
    <t>Need to fix M&amp;V calculation formula</t>
  </si>
  <si>
    <t>Proj. Year N-Total Verified (Expected) annual cost savings</t>
  </si>
  <si>
    <t>mv_year_total_cost_savings</t>
  </si>
  <si>
    <t>mv_year_totals</t>
  </si>
  <si>
    <t>verified_cost_savings</t>
  </si>
  <si>
    <t>RptProjTotCostSavings</t>
  </si>
  <si>
    <t>Verified Annual Cost Savings ($)</t>
  </si>
  <si>
    <t>Proj. Total Verified Annual Cost Savings ($)</t>
  </si>
  <si>
    <t>10011a</t>
  </si>
  <si>
    <t>PIEnergyResCostSavings</t>
  </si>
  <si>
    <t>Implementation Period-Total verified energy and resource cost savings</t>
  </si>
  <si>
    <t>Total verified energy and resource cost savings ($) for the implementation (construction) period. This field/data can only be filled out for post installation M&amp;V report (Year 0).</t>
  </si>
  <si>
    <t>Schedule1-C6</t>
  </si>
  <si>
    <t>Project - Identification and Characteristics- ONLY FOR POST INSTALLATION REPORT</t>
  </si>
  <si>
    <t>mv_impl_verified_cost_savings</t>
  </si>
  <si>
    <t>mv_project_implementation</t>
  </si>
  <si>
    <t>project.project</t>
  </si>
  <si>
    <t>project_main</t>
  </si>
  <si>
    <t>Implementation Period- Total Verified Energy &amp; Resource Cost Savings ($)</t>
  </si>
  <si>
    <t>RptProjElecSavingsKWh</t>
  </si>
  <si>
    <t>Year N-Verified (Expected) annual electricity savings for the project (kWh)</t>
  </si>
  <si>
    <t>Annual Reported electricity savings  for the year (kWh) for a project</t>
  </si>
  <si>
    <t>Schedule 4- N258</t>
  </si>
  <si>
    <t>Sum of all 30053 corresponding to each of the ECMs</t>
  </si>
  <si>
    <t>Y</t>
  </si>
  <si>
    <t>Accreditation requirement - if applicable</t>
  </si>
  <si>
    <t>Proj. Year N-Verified (Expected) annual electricity savings</t>
  </si>
  <si>
    <t>kWh</t>
  </si>
  <si>
    <t>mv_elec_use_proj_energy_savings</t>
  </si>
  <si>
    <t>mv_project_savings</t>
  </si>
  <si>
    <t>Verified Annual Electricity Savings (kWh)</t>
  </si>
  <si>
    <t>RptProjElecSavingsAmt</t>
  </si>
  <si>
    <t>Year N-Verified (Expected) annual electricity cost savings for the project  ($)</t>
  </si>
  <si>
    <t>Annual Reported electricity-related dollar savings  for the year ($) for a project</t>
  </si>
  <si>
    <t>IF N=0, Schedule 4- O258,
N=1, Schedule 4- O258,  
N=2, [Schedule 4- O258* (1+'Annual Escalation Rates'!B6)], 
N=3, [Schedule 4- O258* (1+'Annual Escalation Rates'!B6)*(1+'Annual Escalation Rates'!B7)],
N=4, [Schedule 4- O258* (1+'Annual Escalation Rates'!B6)*(1+'Annual Escalation Rates'!B7)*(1+'Annual Escalation Rates'!B8)],
.......</t>
  </si>
  <si>
    <t>Sum of all 30054 corresponding to each of the ECMs</t>
  </si>
  <si>
    <t>Proj. Year N-Verified (Expected) annual electricity cost savings</t>
  </si>
  <si>
    <t>mv_elec_use_proj_cost_savings</t>
  </si>
  <si>
    <t>Verified Annual Electricity Cost Savings ($)</t>
  </si>
  <si>
    <t>RptProjElecDemandSavingsAmt</t>
  </si>
  <si>
    <t>Year N-Verified (Expected) annual demand cost savings for the project ($)</t>
  </si>
  <si>
    <t>Annual Reported electricity demand reduction dollar savings for the year ($) for a project</t>
  </si>
  <si>
    <t>IF N=0, Schedule 4- Q258, 
N=1, Schedule 4- Q258, 
N=2, [Schedule 4- Q258* (1+'Annual Escalation Rates'!C6)], 
N=3, [Schedule 4- Q258* (1+'Annual Escalation Rates'!C6)*(1+'Annual Escalation Rates'!C7)],
N=4, [Schedule 4- Q258* (1+'Annual Escalation Rates'!C6)*(1+'Annual Escalation Rates'!C7)*(1+'Annual Escalation Rates'!C8)],
.......</t>
  </si>
  <si>
    <t>Sum of all 30056 corresponding to each of the ECMs</t>
  </si>
  <si>
    <t>Proj. Year N-Verified (Expected) annual demand cost savings</t>
  </si>
  <si>
    <t>mv_elec_demand_proj_cost_savings</t>
  </si>
  <si>
    <t>Verified Annual Demand Cost Savings ($)</t>
  </si>
  <si>
    <t>N/A (new ePX field)</t>
  </si>
  <si>
    <t>Average Annual Natural Gas Energy Consumption of Affected Buildings (units)</t>
  </si>
  <si>
    <t>TBD</t>
  </si>
  <si>
    <t>Dropdown/List(Therms,MMBtu,Mcf,Ccf)</t>
  </si>
  <si>
    <t>Natural Gas units</t>
  </si>
  <si>
    <t>G18</t>
  </si>
  <si>
    <t>units_natural_gas</t>
  </si>
  <si>
    <t>unit</t>
  </si>
  <si>
    <t>Natural Gas Units</t>
  </si>
  <si>
    <t>RptProjNGSavingsMMBtu</t>
  </si>
  <si>
    <t>Year N-Verified (Expected) annual natural gas savings for the project (MMBtu)</t>
  </si>
  <si>
    <t>Annual Reported Natural gas savings  for the year (MMBtu) for a project</t>
  </si>
  <si>
    <t>Schedule 4- R258</t>
  </si>
  <si>
    <t>Sum of all 30059 corresponding to each of the ECMs</t>
  </si>
  <si>
    <t>Proj. Year N-Verified (Expected) annual natural gas savings</t>
  </si>
  <si>
    <t>mv_ng_proj_energy_savings</t>
  </si>
  <si>
    <t>Verified Annual Natural Gas Savings (MMBtu)</t>
  </si>
  <si>
    <t>Verified Annual Natural Gas Savings</t>
  </si>
  <si>
    <t>Average Annual Other1 Heating Fuel Energy Consumption of Affected Buildings (units)</t>
  </si>
  <si>
    <t>Dropdown/List(Therms,MMBtu,Mcf,Ccf,kGal,Gal)</t>
  </si>
  <si>
    <t>Other 1 units</t>
  </si>
  <si>
    <t>G21</t>
  </si>
  <si>
    <t>units_other1</t>
  </si>
  <si>
    <t>Other1 Fuel Units</t>
  </si>
  <si>
    <t>10059a</t>
  </si>
  <si>
    <t>RptProjNGSavingsAmt</t>
  </si>
  <si>
    <t>Year N-Verified (Expected) annual natural gas cost savings for the project ($)</t>
  </si>
  <si>
    <t>Annual Reported natural gas-related dollar savings for the year ($) for a project</t>
  </si>
  <si>
    <t>IF N=0, Schedule 4- S258,
N=1, Schedule 4- S258, 
N=2, [Schedule 4- S258* (1+'Annual Escalation Rates'!D6)], 
N=3, [Schedule 4- S258* (1+'Annual Escalation Rates'!D6)*(1+'Annual Escalation Rates'!D7)],
N=4, [Schedule 4- S258* (1+'Annual Escalation Rates'!D6)*(1+'Annual Escalation Rates'!D7)*(1+'Annual Escalation Rates'!D8)],
.......</t>
  </si>
  <si>
    <t>Sum of all 30059a corresponding to each of the ECMs</t>
  </si>
  <si>
    <t>Proj. Year N-Verified (Expected) annual natural gas cost savings</t>
  </si>
  <si>
    <t>mv_ng_proj_cost_savings</t>
  </si>
  <si>
    <t>Verified Annual Natural Gas Cost Savings</t>
  </si>
  <si>
    <t>Average Annual Other2 Heating Fuel Energy Consumption of Affected Buildings (units)</t>
  </si>
  <si>
    <t>Other 2 units</t>
  </si>
  <si>
    <t>G24</t>
  </si>
  <si>
    <t>units_other2</t>
  </si>
  <si>
    <t>Other2 Fuel Units</t>
  </si>
  <si>
    <t>30021n</t>
  </si>
  <si>
    <t>OtherEnergyType1</t>
  </si>
  <si>
    <t>Other energy type 1</t>
  </si>
  <si>
    <t>Other energy type 1 (from proposal template Escalation Rate Schedule cell E4)</t>
  </si>
  <si>
    <t>ECM</t>
  </si>
  <si>
    <t>Baseline</t>
  </si>
  <si>
    <t>Escalation rate schedule cell E4</t>
  </si>
  <si>
    <t>From Proposal-Escalation rate schedule cell E4</t>
  </si>
  <si>
    <t>Calculated</t>
  </si>
  <si>
    <t>Derived- will show in UI but not available for user entry</t>
  </si>
  <si>
    <t>Other Fuel &amp; Energy Types</t>
  </si>
  <si>
    <t>other_savings_category_1</t>
  </si>
  <si>
    <t>other_savings_type</t>
  </si>
  <si>
    <t>category_1</t>
  </si>
  <si>
    <t>other-savings-category</t>
  </si>
  <si>
    <t>other_savings_category</t>
  </si>
  <si>
    <t>Other Energy Type 1</t>
  </si>
  <si>
    <t>RptProjOther1EnergySavingsMMBtu</t>
  </si>
  <si>
    <t>Year N-Verified (Expected) annual other 1 energy savings for the project (MMBtu)</t>
  </si>
  <si>
    <t>Annual Reported savings of other (1) energy types (MMBtu) for the year for a project</t>
  </si>
  <si>
    <t>Schedule 4- T258</t>
  </si>
  <si>
    <t>Sum of all 30060 corresponding to each of the ECMs</t>
  </si>
  <si>
    <t xml:space="preserve">Proj. Year N-Verified (Expected) annual other 1 energy savings </t>
  </si>
  <si>
    <t>mv_other-1_proj_energy_savings</t>
  </si>
  <si>
    <t>Verified Annual Other 1 Energy Savings  (MMBtu)</t>
  </si>
  <si>
    <t xml:space="preserve">Verified Annual Other 1 Energy Savings </t>
  </si>
  <si>
    <t>RptProjOther1EnergySavingsAmt</t>
  </si>
  <si>
    <t>Year N-Verified (Expected) annual other 1 cost savings for the project ($)</t>
  </si>
  <si>
    <t>Annual Reported dollar-related savings of other (1) energy types ($) for the year for a project.</t>
  </si>
  <si>
    <t>IF N=0, Schedule 4- U258, 
N=1, Schedule 4- U258, 
N=2, [Schedule 4- U258* (1+'Annual Escalation Rates'!E6)], 
N=3, [Schedule 4- U258* (1+'Annual Escalation Rates'!E6)*(1+'Annual Escalation Rates'!E7)],
N=4, [Schedule 4- U258* (1+'Annual Escalation Rates'!E6)*(1+'Annual Escalation Rates'!E7)*(1+'Annual Escalation Rates'!E8)],
.......</t>
  </si>
  <si>
    <t>Sum of all 30061 corresponding to each of the ECMs</t>
  </si>
  <si>
    <t xml:space="preserve">Proj. Year N-Verified (Expected) annual other 1 cost savings </t>
  </si>
  <si>
    <t>mv_other-1_proj_cost_savings</t>
  </si>
  <si>
    <t>Verified Annual Other 1 Cost Savings ($)</t>
  </si>
  <si>
    <t>30021o</t>
  </si>
  <si>
    <t>OtherEnergyType2</t>
  </si>
  <si>
    <t>Other energy type 2</t>
  </si>
  <si>
    <t>Other energy type 2 (from proposal template Escalation Rate Schedule cell E5)</t>
  </si>
  <si>
    <t>Escalation rate schedule cell E5</t>
  </si>
  <si>
    <t>From Proposal-Escalation rate schedule cell E5</t>
  </si>
  <si>
    <t>other_savings_category_2</t>
  </si>
  <si>
    <t>category_2</t>
  </si>
  <si>
    <t>Other Energy Type 2</t>
  </si>
  <si>
    <t>10061a</t>
  </si>
  <si>
    <t>RptProjOther2EnergySavingsAmt</t>
  </si>
  <si>
    <t>Year N-Verified (Expected) annual other 2 cost savings for the project ($)</t>
  </si>
  <si>
    <t>Annual Reported dollar-related savings of other (2) energy types ($) for the year for a project.</t>
  </si>
  <si>
    <t>IF N=0, Schedule 4- W258, 
IF N=1, Schedule 4- W258, 
N=2, [Schedule 4- W258* (1+'Annual Escalation Rates'!F6)], 
N=3, [Schedule 4- W258* (1+'Annual Escalation Rates'!F6)*(1+'Annual Escalation Rates'!F7)],
N=4, [Schedule 4- W258* (1+'Annual Escalation Rates'!F6)*(1+'Annual Escalation Rates'!F7)*(1+'Annual Escalation Rates'!F8)],
.......</t>
  </si>
  <si>
    <t>Sum of all 30061a corresponding to each of the ECMs</t>
  </si>
  <si>
    <t>Proj. Year N-Verified (Expected) annual other 2 cost savings</t>
  </si>
  <si>
    <t>mv_other-2_proj_cost_savings</t>
  </si>
  <si>
    <t>Verified Annual Other 2 Cost Savings ($)</t>
  </si>
  <si>
    <t>10060a</t>
  </si>
  <si>
    <t>RptProjOther2EnergySavingsMMBtu</t>
  </si>
  <si>
    <t>Year N-Verified (Expected) annual other 2 energy savings for the project (MMBtu)</t>
  </si>
  <si>
    <t>Annual Reported savings of other (2) energy types (MMBtu) for the year for a project.</t>
  </si>
  <si>
    <t>Schedule 4- V258</t>
  </si>
  <si>
    <t>Sum of all 30060a corresponding to each of the ECMs</t>
  </si>
  <si>
    <t>Proj. Year N-Verified (Expected) annual other 2 energy savings</t>
  </si>
  <si>
    <t>mv_other-2_proj_energy_savings</t>
  </si>
  <si>
    <t>Verified Annual Other 2 Energy Savings</t>
  </si>
  <si>
    <t>RptProjWaterSavingsKGal</t>
  </si>
  <si>
    <t>RptProjWaterSavingsAmt</t>
  </si>
  <si>
    <t>RptProjAvoidedOMCostAmt</t>
  </si>
  <si>
    <t>Year N-Verified (Expected) annual avoided O&amp;M cost savings for the project ($)</t>
  </si>
  <si>
    <t>Annual Reported dollar equivalent of avoided O&amp;M costs for the year after for a project ($)</t>
  </si>
  <si>
    <t>IF N=0, Schedule 4- AB258, 
N=1, Schedule 4- AB258, 
N=2, [Schedule 4- AB258* (1+'Annual Escalation Rates'!H6)], 
N=3, [Schedule 4- AB258* (1+'Annual Escalation Rates'!H6)*(1+'Annual Escalation Rates'!H7)],
N=4, [Schedule 4- AB258* (1+'Annual Escalation Rates'!H6)*(1+'Annual Escalation Rates'!H7)*(1+'Annual Escalation Rates'!H8)],
.......</t>
  </si>
  <si>
    <t>Sum of all 30063 corresponding to each of the ECMs</t>
  </si>
  <si>
    <t>Proj. Year N-Verified (Expected) annual avoided O&amp;M cost savings</t>
  </si>
  <si>
    <t>($)</t>
  </si>
  <si>
    <t>mv_om_proj_cost_savings</t>
  </si>
  <si>
    <t>Verified Annual Avoided O&amp;M Cost Savings ($)</t>
  </si>
  <si>
    <t>10006g</t>
  </si>
  <si>
    <t>Ppnotes</t>
  </si>
  <si>
    <t xml:space="preserve">User text </t>
  </si>
  <si>
    <t>M&amp;V Summary Notes</t>
  </si>
  <si>
    <t>PA Summary Notes</t>
  </si>
  <si>
    <t>mv_pp_notes</t>
  </si>
  <si>
    <t>notes</t>
  </si>
  <si>
    <t>PPNotes</t>
  </si>
  <si>
    <t>N/A - new</t>
  </si>
  <si>
    <t>Impact to Cost Savings ($) – Project-level - for a given M&amp;V year</t>
  </si>
  <si>
    <t>M&amp;V module</t>
  </si>
  <si>
    <t>M&amp;V single-year upload template: cell D254</t>
  </si>
  <si>
    <t>Same for all project agreement types</t>
  </si>
  <si>
    <t>Yes - in M&amp;V modeul UI</t>
  </si>
  <si>
    <t>M&amp;V module: Project UI section</t>
  </si>
  <si>
    <t>Impact to Cost Savings ($)</t>
  </si>
  <si>
    <t>mv_impact_costsav_project</t>
  </si>
  <si>
    <t>mv_savings_impact</t>
  </si>
  <si>
    <t>Need to add</t>
  </si>
  <si>
    <t>Impact to Cost Savings ($) - Project</t>
  </si>
  <si>
    <t>N/A (new ePX M&amp;V field)</t>
  </si>
  <si>
    <t>NEXT YEAR M&amp;V Report Due Date (mm/dd/yy)</t>
  </si>
  <si>
    <t>date (mm/dd/yyyy)</t>
  </si>
  <si>
    <t>mv_due_date_next</t>
  </si>
  <si>
    <t>Verified Implementation Period Cost Savings ($)</t>
  </si>
  <si>
    <t>integer (Dollars)</t>
  </si>
  <si>
    <t>Operational and Maintenance Cost Savings Verified for the Year ($)</t>
  </si>
  <si>
    <t>Electricity Cost Savings Verified for the Year ($)</t>
  </si>
  <si>
    <t>numeric</t>
  </si>
  <si>
    <t>Electric Demand Cost Savings Verified for the Year ($)</t>
  </si>
  <si>
    <t>Natural Gas Savings Verified for the Year (units)</t>
  </si>
  <si>
    <t>mv_ng_proj_savings_units</t>
  </si>
  <si>
    <t>Natural Gas Savings Verified for the Year (qty)</t>
  </si>
  <si>
    <t>Natural Gas Savings Verified for the Year ($)</t>
  </si>
  <si>
    <t>Other1 Savings Verified for the Year (type)</t>
  </si>
  <si>
    <t>mv_other-1_proj_savings_type</t>
  </si>
  <si>
    <t>Other1 Savings Verified for the Year (units)</t>
  </si>
  <si>
    <t>Dropdown/List(Therms, MMBtu, Mcf, Ccf)</t>
  </si>
  <si>
    <t>mv_other-1_proj_savings_units</t>
  </si>
  <si>
    <t>Other1 Savings Verified for the Year (qty)</t>
  </si>
  <si>
    <t>Other1 Cost Savings Verified for the Year ($)</t>
  </si>
  <si>
    <t>Other2 Savings Verified for the Year (type)</t>
  </si>
  <si>
    <t>mv_other-2_proj_savings_type</t>
  </si>
  <si>
    <t>Other2 Savings Verified for the Year (units)</t>
  </si>
  <si>
    <t>mv_other-2_proj_savings_units</t>
  </si>
  <si>
    <t>Other2 Savings Verified for the Year (qty)</t>
  </si>
  <si>
    <t>Other2 Cost Savings Verified for the Year ($)</t>
  </si>
  <si>
    <t>Water Savings Verified for the Year (kGal)</t>
  </si>
  <si>
    <t>mv_water_proj_energy_savings</t>
  </si>
  <si>
    <t>Water Cost Savings Verified for the Year ($)</t>
  </si>
  <si>
    <t>mv_water_proj_cost_savings</t>
  </si>
  <si>
    <t>CO2 Savings Verified for the Year (tons)</t>
  </si>
  <si>
    <t>mv_co2_savings</t>
  </si>
  <si>
    <t>mv_emission_reductions</t>
  </si>
  <si>
    <t>co2_savings</t>
  </si>
  <si>
    <t>CH4 Savings Verified for the Year (tons)</t>
  </si>
  <si>
    <t>mv_ch4_savings</t>
  </si>
  <si>
    <t>ch4_savings</t>
  </si>
  <si>
    <t>Total Carbon Reduction (CO2 and CH4) Verified for the Year (tons)</t>
  </si>
  <si>
    <t>mv_total_carbon_reduction</t>
  </si>
  <si>
    <t>total_carbon_reductions</t>
  </si>
  <si>
    <t>SOX Savings Verified for the Year (tons)</t>
  </si>
  <si>
    <t>mv_sox_savings</t>
  </si>
  <si>
    <t>sox_savings</t>
  </si>
  <si>
    <t>NOX Savings Verified for the Year (tons)</t>
  </si>
  <si>
    <t>mv_nox_savings</t>
  </si>
  <si>
    <t>nox_savings</t>
  </si>
  <si>
    <t>Other GHG Savings Verified for the Year (tons)</t>
  </si>
  <si>
    <t>mv_other_ghg_savings</t>
  </si>
  <si>
    <t>other_savings</t>
  </si>
  <si>
    <t>Job Impacts from Project Implementation (# of FTEs)</t>
  </si>
  <si>
    <t>Impacts from project Implementation (# of FTEs resulting from project development, IGA and through final acceptance of implementation)</t>
  </si>
  <si>
    <t>mv_fte_impl_period</t>
  </si>
  <si>
    <t>mv_job_impacts</t>
  </si>
  <si>
    <t>project_implementation_impacts</t>
  </si>
  <si>
    <t>Impacts from Project Implementation (# of FTEs)</t>
  </si>
  <si>
    <t>Job Impacts this Performance Period (# of FTEs)</t>
  </si>
  <si>
    <t>Impacts this Performance Period (# of FTEs resulting from current performance period year)</t>
  </si>
  <si>
    <t>mv_fte_perf_period</t>
  </si>
  <si>
    <t>performance_period_impacts</t>
  </si>
  <si>
    <t>Impacts this Performance Period (# of FTEs)</t>
  </si>
  <si>
    <t>Remaining Loan Balance</t>
  </si>
  <si>
    <t>remaining_loan_balance</t>
  </si>
  <si>
    <t>mv_financial_obligations</t>
  </si>
  <si>
    <t>TotEstNGSavingsMMBtu</t>
  </si>
  <si>
    <t>Estimated Project annual savings - Natural gas (MMBtu)</t>
  </si>
  <si>
    <t>Calculated field: Projected Natural gas savings  for the year (MMBtu).</t>
  </si>
  <si>
    <t>Schedule-4</t>
  </si>
  <si>
    <t>T258</t>
  </si>
  <si>
    <t>Annual Estimated Natural Gas Savings MMBtu)</t>
  </si>
  <si>
    <t>Proj. Estim. annual savings - Natural gas</t>
  </si>
  <si>
    <t>MMBtu</t>
  </si>
  <si>
    <t>Calculated field: Projected Natural gas savings  for the year (MMBtu)</t>
  </si>
  <si>
    <t>ng_energy_proj_est_savings</t>
  </si>
  <si>
    <t>ecm_estimated_savings_total</t>
  </si>
  <si>
    <t>Project Estimated Annual Savings - Natural Gas (MMBtu)</t>
  </si>
  <si>
    <t>TotEstOther1EnergySavingsMMBtu</t>
  </si>
  <si>
    <t>Estimated Project annual savings - Other 1 energy (MMBtu)</t>
  </si>
  <si>
    <t>Calculated field: Projected savings for the year of other energy types (MMBtu).</t>
  </si>
  <si>
    <t>V258</t>
  </si>
  <si>
    <t>Proj. Estim. annual savings - Other 1 energy</t>
  </si>
  <si>
    <t>Calculated field: Projected savings for the year of other energy types (MMBtu)</t>
  </si>
  <si>
    <t>other_1_energy_proj_est_savings</t>
  </si>
  <si>
    <t>Project Estimated Annual Savings - Other 1 Energy (MMBtu)</t>
  </si>
  <si>
    <t>10151A</t>
  </si>
  <si>
    <t>TotEstOther2EnergySavingsMMBtu</t>
  </si>
  <si>
    <t>Estimated Project annual savings - Other 2 energy (MMBtu)</t>
  </si>
  <si>
    <t>X258</t>
  </si>
  <si>
    <t>Proj Estim. annual savings - Other 2 energy</t>
  </si>
  <si>
    <t>other_2_energy_proj_est_savings</t>
  </si>
  <si>
    <t>Project Estimated Annual Savings - Other 2 Energy (MMBtu)</t>
  </si>
  <si>
    <t>12005b</t>
  </si>
  <si>
    <t>TotPPOEstAnnCostSavings</t>
  </si>
  <si>
    <t>Total Performance Period Estimated Cost Savings ($)</t>
  </si>
  <si>
    <t>Total of all estimated savings for the performance year - EXCLUDING the implementation period. Calculated field: Schedule-1'!B34</t>
  </si>
  <si>
    <t>B34</t>
  </si>
  <si>
    <t>Added to list - original list did not have this</t>
  </si>
  <si>
    <t>Total Payments</t>
  </si>
  <si>
    <t>total_pp_est_cost_savings</t>
  </si>
  <si>
    <t>cost_savings_totals</t>
  </si>
  <si>
    <t>total_perf_est_cost_savings</t>
  </si>
  <si>
    <t>Total Perf Period Estimated Savings ($)</t>
  </si>
  <si>
    <t>12005c</t>
  </si>
  <si>
    <t>TotPPOGuarAnnCostSavings</t>
  </si>
  <si>
    <t>Total Performance Period Guaranteed Cost Savings ($)</t>
  </si>
  <si>
    <t>Total guaranteed savings for the performance year (does not include implementation period) Calculated field: Schedule-1'!C34</t>
  </si>
  <si>
    <t>C34</t>
  </si>
  <si>
    <t>This number is carried over onto the Summary Schedule</t>
  </si>
  <si>
    <t>Total Guranteed Savings</t>
  </si>
  <si>
    <t>total_pp_guar_cost_savings</t>
  </si>
  <si>
    <t>total_perf_guar_cost_savings</t>
  </si>
  <si>
    <t>Total Perf Period Guaranteed Cost Savings ($)</t>
  </si>
  <si>
    <t>New</t>
  </si>
  <si>
    <t>ECM ID number</t>
  </si>
  <si>
    <t>Y?</t>
  </si>
  <si>
    <t>Edit Project Details</t>
  </si>
  <si>
    <t>ECM ID</t>
  </si>
  <si>
    <t>ECM ID number assigned by ePB - unique to the project</t>
  </si>
  <si>
    <t>ECMCategory</t>
  </si>
  <si>
    <t>ECM Technology Category</t>
  </si>
  <si>
    <t>Text Field for ECM technical Category (list from 1-30).</t>
  </si>
  <si>
    <t>Numeric (1-20)</t>
  </si>
  <si>
    <t>Schedule-2a</t>
  </si>
  <si>
    <t>A9 through A&lt;n&gt;</t>
  </si>
  <si>
    <t>project_measures</t>
  </si>
  <si>
    <t>ECM Tech. Category</t>
  </si>
  <si>
    <t>Text Field for ECM technical Category (list from 1-30)</t>
  </si>
  <si>
    <t>ecm_tech_type</t>
  </si>
  <si>
    <t>ecm</t>
  </si>
  <si>
    <t>technology_type_id</t>
  </si>
  <si>
    <t>/portfolio/{projectId}/ecm/{ecmId}/info</t>
  </si>
  <si>
    <t>ecm-tech-type</t>
  </si>
  <si>
    <t>ecm_technology_type</t>
  </si>
  <si>
    <t>Project Measures</t>
  </si>
  <si>
    <t>ECM Technology Category/Project Measures</t>
  </si>
  <si>
    <t>ECMDescription</t>
  </si>
  <si>
    <t>ECM Description-Title</t>
  </si>
  <si>
    <t>Text description of ECM.</t>
  </si>
  <si>
    <t>C9 through C&lt;n&gt;</t>
  </si>
  <si>
    <t>ECM Description</t>
  </si>
  <si>
    <t>ECM description</t>
  </si>
  <si>
    <t>ecm_description</t>
  </si>
  <si>
    <t>ECMNumber</t>
  </si>
  <si>
    <t>ECM Number</t>
  </si>
  <si>
    <t>For Federal Projects, the ECM number should start with Technology category, followed by a decimal and a number. Please refer to Attachment J-3 of IDIQ for complete list of categories. For example, ECM number 5.1, indicates a measure under technology category 5 (Lighting Improvements).</t>
  </si>
  <si>
    <t>B9 through B&lt;n&gt;</t>
  </si>
  <si>
    <t>User-defined number for ECM. For Federal Projects, the ECM number should start with Technology category, followed by a decimal and a number. For example, ECM number 5.1, indicates a measure under technology category 5 (Lighting Improvements)</t>
  </si>
  <si>
    <t>ecm_number</t>
  </si>
  <si>
    <t>MVWitnessDate</t>
  </si>
  <si>
    <t>Agency M&amp;V Witnessed-Date</t>
  </si>
  <si>
    <t>Date agency witness conducted annual M&amp;V audit (mm/dd/yyyy)</t>
  </si>
  <si>
    <t>Contact</t>
  </si>
  <si>
    <t>mv_ecm_witness_date</t>
  </si>
  <si>
    <t>mv_ecm_witness</t>
  </si>
  <si>
    <t>witness_date</t>
  </si>
  <si>
    <t>ecm_uuid</t>
  </si>
  <si>
    <t>Customer M&amp;V/PA Witnessed-Date</t>
  </si>
  <si>
    <t>MVWitnessName</t>
  </si>
  <si>
    <t>Agency M&amp;V Witnessed-Name</t>
  </si>
  <si>
    <t>First and last name of agency personnel that witnessed the M&amp;V for this year</t>
  </si>
  <si>
    <t>1?</t>
  </si>
  <si>
    <t>mv_ecm_witness_name</t>
  </si>
  <si>
    <t>Customer M&amp;V/PA Witnessed-Name</t>
  </si>
  <si>
    <t>30025x</t>
  </si>
  <si>
    <t>MVoptionRvsd</t>
  </si>
  <si>
    <t>M&amp;V Option</t>
  </si>
  <si>
    <t>Revised M&amp;V methodology used for the ECM (if needed)</t>
  </si>
  <si>
    <t>Schedule 4- Ci</t>
  </si>
  <si>
    <t>From Proposal-Schedule 4- Ci</t>
  </si>
  <si>
    <t>ECM - Verified Savings</t>
  </si>
  <si>
    <t>mv_option</t>
  </si>
  <si>
    <t>mv_option_id</t>
  </si>
  <si>
    <t>mv-option</t>
  </si>
  <si>
    <t>M&amp;V/PA Option</t>
  </si>
  <si>
    <t>RptECMTotSavingsAmt</t>
  </si>
  <si>
    <t>ECM-Level: Year N Verified (Expected) TOTAL Cost savings per ECM ($)</t>
  </si>
  <si>
    <t>Annual Reported Total avoided costs for the year for a measure ($).</t>
  </si>
  <si>
    <t>RptECMLostCostAmtESCO+RptECMLostCostCauseESCO+RptECMLostEngyAgency+RptECMNGSavingsMMBtu+RptECMOther2EnergySavingsAmt+RptECMOther2EnergySavingsMMBtu+RptECMOtherAvoidedCostAmt+RptECMTotEnergySavings</t>
  </si>
  <si>
    <t>Derived-Not on UI</t>
  </si>
  <si>
    <t>Year N Verified (Expected) TOTAL Cost savings per ECM</t>
  </si>
  <si>
    <t>mv_ecm_total_cost_savings</t>
  </si>
  <si>
    <t>mv_ecm_totals</t>
  </si>
  <si>
    <t>cost_per_ecm</t>
  </si>
  <si>
    <t>RptECMTotCostSavings</t>
  </si>
  <si>
    <t>Year N Verified (Expected) TOTAL Cost Savings per ECM ($)</t>
  </si>
  <si>
    <t>Annual Reported Total avoided energy costs for the year for a measure ($).</t>
  </si>
  <si>
    <t>mv_ecm_energy_total_cost_savings</t>
  </si>
  <si>
    <t>energy_savings_per_ecm</t>
  </si>
  <si>
    <t>RptECMTotEnergySavings</t>
  </si>
  <si>
    <t>ECM-Level: Year N Verified (Expected) TOTAL Energy savings per ECM (MMBtu)</t>
  </si>
  <si>
    <t>Annual Reported Total avoided energy for the year for a measure (MMBTU).</t>
  </si>
  <si>
    <t>(0.003412*RptECMElecUseSavingsKWh)+RptECMNGSavingsMMBtu+RptECMOther1EnergySavingsMMBtu+RptECMOther2EnergySavingsMMBtu</t>
  </si>
  <si>
    <t>Year N Verified (Expected) TOTAL Energy savings per ECM</t>
  </si>
  <si>
    <t>(MMBtu)</t>
  </si>
  <si>
    <t>mv_ecm_total_energy_savings</t>
  </si>
  <si>
    <t>energy_cost_savings_per_ecm</t>
  </si>
  <si>
    <t>Year N Verified (Expected) TOTAL Energy Savings per ECM</t>
  </si>
  <si>
    <t>30016m</t>
  </si>
  <si>
    <t>RptECMBaselineElecKWh</t>
  </si>
  <si>
    <t>Year N-Adjusted-Baseline Electricity usage for the measure(kWh)</t>
  </si>
  <si>
    <t>Annual Reported baseline electricity usage (kWh) for the measure</t>
  </si>
  <si>
    <t>Schedule 4- Di</t>
  </si>
  <si>
    <t>ECM - Adjusted Baseline</t>
  </si>
  <si>
    <t>Year N-Adjusted Baseline Electricity usage for the measure</t>
  </si>
  <si>
    <t>(kWh)</t>
  </si>
  <si>
    <t>mv_elec_use_ecm_baseline</t>
  </si>
  <si>
    <t>mv_ecm_baseline</t>
  </si>
  <si>
    <t>30017m</t>
  </si>
  <si>
    <t>RptECMBaselineElecDemandKW</t>
  </si>
  <si>
    <t xml:space="preserve">Year N-Adjusted-Baseline-Electricity demand for the measure (kW/mo) </t>
  </si>
  <si>
    <t>Annual Reported baseline electric demand (kW/mo)  for the measure</t>
  </si>
  <si>
    <t>Schedule 4- Ei</t>
  </si>
  <si>
    <t xml:space="preserve">Year N-Adjusted-Baseline-Electricity demand for the measure </t>
  </si>
  <si>
    <t>kW/mo</t>
  </si>
  <si>
    <t>mv_elec_demand_ecm_baseline</t>
  </si>
  <si>
    <t>30019m</t>
  </si>
  <si>
    <t>RptECMBaselineNGMMBtu</t>
  </si>
  <si>
    <t>Year N-Adjusted-Baseline-Natural gas usage for the measure (MMBtu)</t>
  </si>
  <si>
    <t>Annual Reported baseline natural gas usage (MMBtu)  for the measure</t>
  </si>
  <si>
    <t>Schedule 4- Fi</t>
  </si>
  <si>
    <t xml:space="preserve">Year N-Adjusted-Baseline-Natural gas usage for the measure </t>
  </si>
  <si>
    <t>mv_ng_ecm_baseline</t>
  </si>
  <si>
    <t>30020m</t>
  </si>
  <si>
    <t>RptECMBaselineOther1EnergyMMBtu</t>
  </si>
  <si>
    <t>Year N-Adjusted-Baseline-Other 1 energy usage for the measure (MMBtu)</t>
  </si>
  <si>
    <t>Annual Reported baseline -other energy type 1 usage (MMBtu) for the measure</t>
  </si>
  <si>
    <t>Schedule 4- Gi</t>
  </si>
  <si>
    <t>mv_other_1_ecm_baseline</t>
  </si>
  <si>
    <t>30021m</t>
  </si>
  <si>
    <t>RptECMBaselineOther2EnergyMMBtu</t>
  </si>
  <si>
    <t>Year N-Adjusted-Baseline-Other 2 energy usage for the measure(MMBtu)</t>
  </si>
  <si>
    <t>Annual Reported baseline-other energy type 2 usage (MMBtu) for the measure</t>
  </si>
  <si>
    <t>Schedule 4- Hi</t>
  </si>
  <si>
    <t>mv_other_2_ecm_baseline</t>
  </si>
  <si>
    <t>30018m</t>
  </si>
  <si>
    <t>RptECMBaselineWaterKgal</t>
  </si>
  <si>
    <t>Year N-Adjusted-Baseline-Water usage for the measure (kgal)</t>
  </si>
  <si>
    <t>Annual Reported baseline water usage (kGal)  for the measure</t>
  </si>
  <si>
    <t>Schedule 4- Ii</t>
  </si>
  <si>
    <t xml:space="preserve">Year N-Adjusted-Baseline-Water usage for the measure </t>
  </si>
  <si>
    <t>(kgal)</t>
  </si>
  <si>
    <t>mv_water_ecm_baseline</t>
  </si>
  <si>
    <t>30024m</t>
  </si>
  <si>
    <t>RptECMBaselineOMCost</t>
  </si>
  <si>
    <t>Year N-Adjusted-Baseline-O&amp;M costs for the measure ($)</t>
  </si>
  <si>
    <t>Annual Reported baseline-O&amp;M costs ($)  for the measure</t>
  </si>
  <si>
    <t>Schedule 4- Ki</t>
  </si>
  <si>
    <t>Year N-Adjusted-Baseline-O&amp;M costs for the measure</t>
  </si>
  <si>
    <t>mv_om_ecm_baseline</t>
  </si>
  <si>
    <t>30025m</t>
  </si>
  <si>
    <t>RptECMBaselineNonEnergyCost</t>
  </si>
  <si>
    <t>Year N-Adjusted-Baseline-Other non-energy costs for the measure ($)</t>
  </si>
  <si>
    <t>Annual Reported baseline - other non-energy costs ($)  for the measure</t>
  </si>
  <si>
    <t>Schedule 4- Li</t>
  </si>
  <si>
    <t>Year N-Adjusted-Baseline-Other non-energy costs for the measure</t>
  </si>
  <si>
    <t>mv_non_energy_ecm_baseline</t>
  </si>
  <si>
    <t>30023m</t>
  </si>
  <si>
    <t>RptECMBaselineEnergyRsrcAmt</t>
  </si>
  <si>
    <t>Year N-Adjusted-Baseline- Energy and resource costs for the measure ($)</t>
  </si>
  <si>
    <t>Annual Reported baseline-resource consumption costs NOT including O&amp;M and other non-energy resource costs ($)  for the measure</t>
  </si>
  <si>
    <t>Schedule 4- Ji</t>
  </si>
  <si>
    <t>Year N-Adjusted-Baseline- Energy and resource costs for the measure</t>
  </si>
  <si>
    <t>mv_energy_resource_ecm_baseline</t>
  </si>
  <si>
    <t>RptECMElecSavingsKWh</t>
  </si>
  <si>
    <t>Year N-Verified (Expected) annual electricity savings for the measure (kWh)</t>
  </si>
  <si>
    <t>Annual Reported electricity savings  for the year (kWh) for a measure</t>
  </si>
  <si>
    <t>Schedule 4- Ni where i is the measure number</t>
  </si>
  <si>
    <t xml:space="preserve">Year N-Verified (Expected) annual electricity savings for the measure </t>
  </si>
  <si>
    <t>mv_elec_use_ecm_energy_savings</t>
  </si>
  <si>
    <t>mv_ecm_savings</t>
  </si>
  <si>
    <t>Verified Annual Electricity Savings for the Measure (kWh)</t>
  </si>
  <si>
    <t>RptECMElecSavingsAmt</t>
  </si>
  <si>
    <t>Year N-Verified (Expected) annual electricity cost savings for the measure  ($)</t>
  </si>
  <si>
    <t>Annual Reported electricity-related dollar savings  for the year ($) for a measure</t>
  </si>
  <si>
    <t>IF N=0, Schedule 4- Oi,
N=1, Schedule 4- Oi,  
N=2, [Schedule 4- Oi* (1+'Annual Escalation Rates'!B6)], 
N=3, [Schedule 4- Oi* (1+'Annual Escalation Rates'!B6)*(1+'Annual Escalation Rates'!B7)],
N=4, [Schedule 4- Oi* (1+'Annual Escalation Rates'!B6)*(1+'Annual Escalation Rates'!B7)*(1+'Annual Escalation Rates'!B8)],
.......</t>
  </si>
  <si>
    <t>Year N-Verified (Expected) annual electricity cost savings for the measure</t>
  </si>
  <si>
    <t>mv_elec_use_ecm_cost_savings</t>
  </si>
  <si>
    <t>Verified Annual Electricity Cost Savings for the Measure ($)</t>
  </si>
  <si>
    <t>RptECMElecDemandSavingsKW</t>
  </si>
  <si>
    <t>Year N-Verified (Expected) annual electricity demand savings for the measure (kW/mo)</t>
  </si>
  <si>
    <t>Annual Reported electricity demand reduction for the year (kW/mo) for a measure</t>
  </si>
  <si>
    <t xml:space="preserve">Numeric </t>
  </si>
  <si>
    <t>Schedule 4- Pi where i is the measure number</t>
  </si>
  <si>
    <t xml:space="preserve">Year N-Verified (Expected) annual electricity demand savings for the measure </t>
  </si>
  <si>
    <t>(kW/mo)</t>
  </si>
  <si>
    <t>mv_elec_demand_ecm_energy_savings</t>
  </si>
  <si>
    <t>RptECMElecDemandSavingsAmt</t>
  </si>
  <si>
    <t>Year N-Verified (Expected) annual demand cost savings for the measure ($)</t>
  </si>
  <si>
    <t>Annual Reported electricity demand reduction dollar savings for the year ($) for a measure</t>
  </si>
  <si>
    <t>IF N=0, Schedule 4- Qi, 
N=1, Schedule 4- Qi, 
N=2, [Schedule 4- Qi* (1+'Annual Escalation Rates'!C6)], 
N=3, [Schedule 4- Qi* (1+'Annual Escalation Rates'!C6)*(1+'Annual Escalation Rates'!C7)],
N=4, [Schedule 4- Qi* (1+'Annual Escalation Rates'!C6)*(1+'Annual Escalation Rates'!C7)*(1+'Annual Escalation Rates'!C8)],
.......</t>
  </si>
  <si>
    <t>Year N-Verified (Expected) annual demand cost savings for the measure</t>
  </si>
  <si>
    <t>mv_elec_demand_ecm_cost_savings</t>
  </si>
  <si>
    <t>RptECMNGSavingsMMBtu</t>
  </si>
  <si>
    <t>Year N-Verified (Expected) annual natural gas savings for the measure (MMBtu)</t>
  </si>
  <si>
    <t>Annual Reported   for the year (MMBtu) for a measure</t>
  </si>
  <si>
    <t>Schedule 4- Ri</t>
  </si>
  <si>
    <t xml:space="preserve">Year N-Verified (Expected) annual natural gas savings for the measure </t>
  </si>
  <si>
    <t>mv_ng_ecm_energy_savings</t>
  </si>
  <si>
    <t>Verified Annual Natural Gas Savings for the Measure (MMBtu)</t>
  </si>
  <si>
    <t>30059a</t>
  </si>
  <si>
    <t>RptECMNGSavingsAmt</t>
  </si>
  <si>
    <t>Year N-Verified (Expected) annual natural gas cost savings for the measure ($)</t>
  </si>
  <si>
    <t>Annual Reported natural gas-related dollar savings for the year ($) for a measure</t>
  </si>
  <si>
    <t>IF N=0, Schedule 4- Si,
N=1, Schedule 4- Si, 
N=2, [Schedule 4- Si* (1+'Annual Escalation Rates'!D6)], 
N=3, [Schedule 4- Si* (1+'Annual Escalation Rates'!D6)*(1+'Annual Escalation Rates'!D7)],
N=4, [Schedule 4- Si* (1+'Annual Escalation Rates'!D6)*(1+'Annual Escalation Rates'!D7)*(1+'Annual Escalation Rates'!D8)],
.......</t>
  </si>
  <si>
    <t>Year N-Verified (Expected) annual natural gas cost savings for the measure</t>
  </si>
  <si>
    <t>mv_ng_ecm_cost_savings</t>
  </si>
  <si>
    <t>Verified Annual Natural Gas Cost Savings for the Measure ($)</t>
  </si>
  <si>
    <t>RptECMOther1EnergySavingsMMBtu</t>
  </si>
  <si>
    <t>Year N-Verified (Expected) annual other 1 energy savings for the measure (MMBtu)</t>
  </si>
  <si>
    <t>Annual Reported savings of other (1) energy types (MMBtu) for the year for a measure</t>
  </si>
  <si>
    <t>Schedule 4- Ti</t>
  </si>
  <si>
    <t xml:space="preserve">Year N-Verified (Expected) annual other 1 energy savings for the measure </t>
  </si>
  <si>
    <t>mv_other_1_ecm_energy_savings</t>
  </si>
  <si>
    <t xml:space="preserve">Verified Annual Other 1 Energy Savings for the Measure </t>
  </si>
  <si>
    <t>RptECMOther1EnergySavingsAmt</t>
  </si>
  <si>
    <t>Year N-Verified (Expected) annual other 1 cost savings for the measure ($)</t>
  </si>
  <si>
    <t>Annual Reported dollar-related savings of other (1) energy types ($) for the year for a measure.</t>
  </si>
  <si>
    <t>IF N=0, Schedule 4- Ui, 
N=1, Schedule 4- Ui, 
N=2, [Schedule 4- Ui* (1+'Annual Escalation Rates'!E6)], 
N=3, [Schedule 4- Ui* (1+'Annual Escalation Rates'!E6)*(1+'Annual Escalation Rates'!E7)],
N=4, [Schedule 4- Ui* (1+'Annual Escalation Rates'!E6)*(1+'Annual Escalation Rates'!E7)*(1+'Annual Escalation Rates'!E8)],
.......</t>
  </si>
  <si>
    <t>Year N-Verified (Expected) annual other 1 cost savings for the measure</t>
  </si>
  <si>
    <t>mv_other_1_ecm_cost_savings</t>
  </si>
  <si>
    <t>Verified Annual Other 1 Cost Savings for the Measure ($)</t>
  </si>
  <si>
    <t>30060a</t>
  </si>
  <si>
    <t>RptECMOther2EnergySavingsMMBtu</t>
  </si>
  <si>
    <t>Year N-Verified (Expected) annual other 2 energy savings for the measure (MMBtu)</t>
  </si>
  <si>
    <t>Annual Reported savings of other (2) energy types (MMBtu) for the year for a measure.</t>
  </si>
  <si>
    <t>Schedule 4- Vi</t>
  </si>
  <si>
    <t>Year N-Verified (Expected) annual other 2 energy savings for the measure</t>
  </si>
  <si>
    <t>mv_other_2_ecm_energy_savings</t>
  </si>
  <si>
    <t>Verified Annual Other 2 Energy Savings for the Measure</t>
  </si>
  <si>
    <t>30061a</t>
  </si>
  <si>
    <t>RptECMOther2EnergySavingsAmt</t>
  </si>
  <si>
    <t>Year N-Verified (Expected) annual other 2 cost savings for the measure ($)</t>
  </si>
  <si>
    <t>Annual Reported dollar-related savings of other (2) energy types ($) for the year for a measure.</t>
  </si>
  <si>
    <t>IF N=0, Schedule 4- Wi, 
IF N=1, Schedule 4- Wi, 
N=2, [Schedule 4- Wi* (1+'Annual Escalation Rates'!F6)], 
N=3, [Schedule 4- Wi* (1+'Annual Escalation Rates'!F6)*(1+'Annual Escalation Rates'!F7)],
N=4, [Schedule 4- Wi* (1+'Annual Escalation Rates'!F6)*(1+'Annual Escalation Rates'!F7)*(1+'Annual Escalation Rates'!F8)],
.......</t>
  </si>
  <si>
    <t>Year N-Verified (Expected) annual other 2 cost savings for the measure</t>
  </si>
  <si>
    <t>mv_other_2_ecm_cost_savings</t>
  </si>
  <si>
    <t>Year N-Verified Annual Other 2 Cost Savings for the Measure ($)</t>
  </si>
  <si>
    <t>RptECMWaterSavingsKGal</t>
  </si>
  <si>
    <t>Year N-Verified (Expected) annual water savings for the measure (kGal)</t>
  </si>
  <si>
    <t>Annual Reported water savings for the year for a measure</t>
  </si>
  <si>
    <t>Schedule 4- Zi</t>
  </si>
  <si>
    <t>ECM Year N-Verified (Expected) annual water savings</t>
  </si>
  <si>
    <t>(kGal)</t>
  </si>
  <si>
    <t>mv_water_ecm_energy_savings</t>
  </si>
  <si>
    <t>ECM Verified Annual Water Savings (kGal)</t>
  </si>
  <si>
    <t>RptECMWaterSavingsAmt</t>
  </si>
  <si>
    <t>Year N-Verified (Expected) annual measure water cost savings ($)</t>
  </si>
  <si>
    <t>Annual Reported water-related dollar savings for the year ($) for a measure</t>
  </si>
  <si>
    <t>IF N=0, Schedule 4- AAi,
N=1, Schedule 4- AAi,  
N=2, [Schedule 4- AAi* (1+'Annual Escalation Rates'!G6)], 
N=3, [Schedule 4- AAi* (1+'Annual Escalation Rates'!G6)*(1+'Annual Escalation Rates'!G7)],
N=4, [Schedule 4- AAi* (1+'Annual Escalation Rates'!G6)*(1+'Annual Escalation Rates'!G7)*(1+'Annual Escalation Rates'!G8)],
.......</t>
  </si>
  <si>
    <t>ECM Year N-Verified (Expected) annual water cost savings</t>
  </si>
  <si>
    <t>mv_water_ecm_cost_savings</t>
  </si>
  <si>
    <t>ECM Verified Annual Water Cost Savings ($)</t>
  </si>
  <si>
    <t>RptECMAvoidedOMCostAmt</t>
  </si>
  <si>
    <t>Year N-Verified (Expected) annual avoided O&amp;M cost savings for the measure ($)</t>
  </si>
  <si>
    <t>Annual Reported dollar equivalent of avoided O&amp;M costs for the year for a measure ($)</t>
  </si>
  <si>
    <t>IF N=0, Schedule 4- ABi, 
N=1, Schedule 4- ABi, 
N=2, [Schedule 4- ABi* (1+'Annual Escalation Rates'!H6)], 
N=3, [Schedule 4- ABi* (1+'Annual Escalation Rates'!H6)*(1+'Annual Escalation Rates'!H7)],
N=4, [Schedule 4- ABi* (1+'Annual Escalation Rates'!H6)*(1+'Annual Escalation Rates'!H7)*(1+'Annual Escalation Rates'!H8)],
.......</t>
  </si>
  <si>
    <t>Year N-Verified (Expected) annual avoided O&amp;M cost savings for the measure</t>
  </si>
  <si>
    <t>mv_om_ecm_cost_savings</t>
  </si>
  <si>
    <t>Verified Annual Avoided O&amp;M Cost Savings for the Measure ($)</t>
  </si>
  <si>
    <t>RptECMOtherAvoidedCostAmt</t>
  </si>
  <si>
    <t>Year N-Verified (Expected) annual other avoided costs savings for the measure ($)</t>
  </si>
  <si>
    <t>Annual Reported dollar equivalent of avoided costs for the year for a measure ($).</t>
  </si>
  <si>
    <t>IF N=0, Schedule 4- ACi,
N=1, Schedule 4- ACi,  
N=2, [Schedule 4- ACi* (1+'Annual Escalation Rates'!I6)], 
N=3, [Schedule 4- ACi* (1+'Annual Escalation Rates'!I6)*(1+'Annual Escalation Rates'!I7)],
N=4, [Schedule 4- ACi* (1+'Annual Escalation Rates'!I6)*(1+'Annual Escalation Rates'!I7)*(1+'Annual Escalation Rates'!I8)],
.......</t>
  </si>
  <si>
    <t>Year N-Verified (Expected) annual other avoided costs savings for the measure</t>
  </si>
  <si>
    <t>Other non-energy cost savings - per ECM</t>
  </si>
  <si>
    <t>mv_other_avoided_ecm_cost_savings</t>
  </si>
  <si>
    <t>Verified Annual Other Avoided Costs Savings for the Measure ($)</t>
  </si>
  <si>
    <t>RptECMLostEngyESCO</t>
  </si>
  <si>
    <t>Year N-Lost energy-savings opportunity due to ESCO impact on ECM or equipment failure (MMBTu)</t>
  </si>
  <si>
    <t>Yearly energy savings lost due to ESCO's impact on a measure</t>
  </si>
  <si>
    <t>Lost Cost Savings</t>
  </si>
  <si>
    <t>ECM - Lost Cost Savings</t>
  </si>
  <si>
    <t xml:space="preserve">Year N-Lost energy-savings opportunity due to ESCO impact on ECM or equipment failure </t>
  </si>
  <si>
    <t>mv_ecm_impact_esco_energy</t>
  </si>
  <si>
    <t>mv_ecm_savings_impact</t>
  </si>
  <si>
    <t>esco_energy</t>
  </si>
  <si>
    <t>RptECMESCOEnergy</t>
  </si>
  <si>
    <t xml:space="preserve">Year N-Lost Energy-Savings Opportunity due to ESCO Impact on ECM or Equipment Failure </t>
  </si>
  <si>
    <t>RptECMLostCostAmtESCO</t>
  </si>
  <si>
    <t>Year N-Lost cost-savings opportunity due to ESCO impact on ECM or equipment failure ($)</t>
  </si>
  <si>
    <t>Yearly cost savings lost due to ESCO's impact on a measure</t>
  </si>
  <si>
    <t>Year N-Lost cost-savings opportunity due to ESCO impact on ECM or equipment failure</t>
  </si>
  <si>
    <t>mv_ecm_impact_esco_cost</t>
  </si>
  <si>
    <t>esco_cost</t>
  </si>
  <si>
    <t>RptECMESCOCost</t>
  </si>
  <si>
    <t>Year N-Lost Cost-Savings Opportunity due to ESCO Impact on ECM or Equipment Failure ($)</t>
  </si>
  <si>
    <t>RptECMLostCostCauseESCO</t>
  </si>
  <si>
    <t>Year N-Cause of reduced savings due to ESCO</t>
  </si>
  <si>
    <t>ESCOs Cause of lost cost-savings in a year for a measure</t>
  </si>
  <si>
    <t>Text: (500 char max)</t>
  </si>
  <si>
    <t>mv_ecm_impact_esco_cause</t>
  </si>
  <si>
    <t>esco_impact_cause</t>
  </si>
  <si>
    <t>RptECMESCOCause</t>
  </si>
  <si>
    <t>Year N-Cause of Reduced Savings due to ESCO</t>
  </si>
  <si>
    <t>RptECMLostEngyAgency</t>
  </si>
  <si>
    <t>Year N-Lost energy-savings opportunity due to agency impact on ECM (MMBtu)</t>
  </si>
  <si>
    <t>Yearly energy savings lost due to agency's impact on a measure</t>
  </si>
  <si>
    <t>Year N-Lost energy-savings opportunity due to agency impact on ECM</t>
  </si>
  <si>
    <t>mv_ecm_impact_agency_energy</t>
  </si>
  <si>
    <t>agency_energy</t>
  </si>
  <si>
    <t>RptECMAgencyEnergy</t>
  </si>
  <si>
    <t>Year N-Lost Energy-Savings Opportunity due to Agency Impact on ECM</t>
  </si>
  <si>
    <t>RptECMLostCostAmtAgency</t>
  </si>
  <si>
    <t>Year N-Lost cost-savings opportunity due to agency impact on ECM ($)</t>
  </si>
  <si>
    <t>Yearly cost savings lost due to Agency's impact on a measure</t>
  </si>
  <si>
    <t>Year N-Lost cost-savings opportunity due to agency impact on ECM</t>
  </si>
  <si>
    <t>mv_ecm_impact_agency_cost</t>
  </si>
  <si>
    <t>agency_cost</t>
  </si>
  <si>
    <t>RptECMAgencyCost</t>
  </si>
  <si>
    <t>Year N-Lost Cost-Savings Opportunity due to Agency Impact on ECM ($)</t>
  </si>
  <si>
    <t>30066E</t>
  </si>
  <si>
    <t>RptECMLostCostCauseAgency</t>
  </si>
  <si>
    <t>Year N-Cause of reduced savings due to Agency</t>
  </si>
  <si>
    <t xml:space="preserve">Agency's cause of lost cost-savings in a year for a measure </t>
  </si>
  <si>
    <t>mv_ecm_impact_agency_cause</t>
  </si>
  <si>
    <t>agency_impact_cause</t>
  </si>
  <si>
    <t>RptECMAgencyCause</t>
  </si>
  <si>
    <t>Year N-Cause of Reduced Savings due to Agency</t>
  </si>
  <si>
    <t>10002Y</t>
  </si>
  <si>
    <t>FEMPProjectID</t>
  </si>
  <si>
    <t>User Defined Project ID Number</t>
  </si>
  <si>
    <t>Summary Schedule</t>
  </si>
  <si>
    <t>C22</t>
  </si>
  <si>
    <t>User Defined Project ID</t>
  </si>
  <si>
    <t>User defined project identification number</t>
  </si>
  <si>
    <t>project_id_number</t>
  </si>
  <si>
    <t>project_identification</t>
  </si>
  <si>
    <t>/portfolio/{projectId}/financing</t>
  </si>
  <si>
    <t>TONumber</t>
  </si>
  <si>
    <t>Task/Purchase Order Number</t>
  </si>
  <si>
    <t>Specific agency task order number.</t>
  </si>
  <si>
    <t>C14</t>
  </si>
  <si>
    <t>owners_po_number</t>
  </si>
  <si>
    <t>Task or Purchase Order Number</t>
  </si>
  <si>
    <t>The project's task order or purchase order number</t>
  </si>
  <si>
    <t>task_order_number</t>
  </si>
  <si>
    <t>Owner's Purchase Order Number</t>
  </si>
  <si>
    <t>Purchase Order Number</t>
  </si>
  <si>
    <t>ProjName</t>
  </si>
  <si>
    <t>Project Name</t>
  </si>
  <si>
    <t>The name of the project.</t>
  </si>
  <si>
    <t>C16</t>
  </si>
  <si>
    <t>The name of the project</t>
  </si>
  <si>
    <t>project_name</t>
  </si>
  <si>
    <t xml:space="preserve">epx  </t>
  </si>
  <si>
    <t>ESCOContractNumber</t>
  </si>
  <si>
    <t>Contract Number</t>
  </si>
  <si>
    <t>IDIQ contract number with ESCO.</t>
  </si>
  <si>
    <t>C15</t>
  </si>
  <si>
    <t>owners_contract_number</t>
  </si>
  <si>
    <t>esco_contract_number</t>
  </si>
  <si>
    <t>contract_number</t>
  </si>
  <si>
    <t>Owner's Contract Number</t>
  </si>
  <si>
    <t>City</t>
  </si>
  <si>
    <t>Primary project location-City</t>
  </si>
  <si>
    <t>Primary city where project facility(ies) is/are located</t>
  </si>
  <si>
    <t>C17</t>
  </si>
  <si>
    <t>project_city</t>
  </si>
  <si>
    <t>project_location</t>
  </si>
  <si>
    <t>city</t>
  </si>
  <si>
    <t>State</t>
  </si>
  <si>
    <t>Primary project location-State</t>
  </si>
  <si>
    <t>Primary state where project facility(ies) is/are located.</t>
  </si>
  <si>
    <t>Text: (2 char max)</t>
  </si>
  <si>
    <t>C18</t>
  </si>
  <si>
    <t>Primary state where project facility(ies) is/are located</t>
  </si>
  <si>
    <t>project_state</t>
  </si>
  <si>
    <t>state</t>
  </si>
  <si>
    <t>Zip</t>
  </si>
  <si>
    <t>Primary project location-Zipcode</t>
  </si>
  <si>
    <t>Zipcode where primary facility(ies) are located.</t>
  </si>
  <si>
    <t>C19</t>
  </si>
  <si>
    <t>Primary Project Location Zipcode</t>
  </si>
  <si>
    <t>Zipcode where primary facility(ies) are located</t>
  </si>
  <si>
    <t>zip</t>
  </si>
  <si>
    <t>Zip Code</t>
  </si>
  <si>
    <t>CabinetAgency</t>
  </si>
  <si>
    <t>Agency name</t>
  </si>
  <si>
    <t>The lead agency name for the organization or agency engaging in project.</t>
  </si>
  <si>
    <t>C20</t>
  </si>
  <si>
    <t>Removed "Cabinet Level" from field name</t>
  </si>
  <si>
    <t>The customer/Project Initiator organization's agency or sub agency (for example,  the state, municipality, school district or federal cabinet agency)</t>
  </si>
  <si>
    <t>agency_name</t>
  </si>
  <si>
    <t>Agency Name</t>
  </si>
  <si>
    <t>MarketSegment</t>
  </si>
  <si>
    <t>Market Segment</t>
  </si>
  <si>
    <t>Market segment</t>
  </si>
  <si>
    <t>List(Federal Government, State/Local Government, Healthcare, K-12 Schools, University/College, Other, Industrial, Commercial (Leased), Commercial (Owner-occupied), Public Housing, Residential, Retail (Leased), Retail (Owner-occupied), Hotel/Hospitality)</t>
  </si>
  <si>
    <t>G17</t>
  </si>
  <si>
    <t>Note - some projects in the .csv show "Federal" and some show "Federal Government"  I suggest we just us "Federal" for federal government market and "State/Local" for state/local market.</t>
  </si>
  <si>
    <t>market_segment</t>
  </si>
  <si>
    <t>project_characteristics</t>
  </si>
  <si>
    <t>market_segment_id</t>
  </si>
  <si>
    <t>market-segment</t>
  </si>
  <si>
    <t>ProjFacilitatorInst</t>
  </si>
  <si>
    <t>Project Facilitator Institution</t>
  </si>
  <si>
    <t>Institution name for project facilitator.</t>
  </si>
  <si>
    <t>C7</t>
  </si>
  <si>
    <t>project_admin_instituion</t>
  </si>
  <si>
    <t>Project - Contacts</t>
  </si>
  <si>
    <t>Institution/organization of the project facilitator</t>
  </si>
  <si>
    <t>facilitator_contact_institution</t>
  </si>
  <si>
    <t>project_contact</t>
  </si>
  <si>
    <t>Project Facilitator Organization</t>
  </si>
  <si>
    <t>Owner's Rep Institution</t>
  </si>
  <si>
    <t>Project Facilitator/Owner's Rep Organization</t>
  </si>
  <si>
    <t>10038P</t>
  </si>
  <si>
    <t>ProjFaciliatorContactName</t>
  </si>
  <si>
    <t>Project Faciliator Name</t>
  </si>
  <si>
    <t>Project facilitator name.</t>
  </si>
  <si>
    <t>D7</t>
  </si>
  <si>
    <t>project_admin_name</t>
  </si>
  <si>
    <t>Project Faciliator Contact name</t>
  </si>
  <si>
    <t>Project facilitator contact name</t>
  </si>
  <si>
    <t>facilitator_name</t>
  </si>
  <si>
    <t>Owner's Rep Name</t>
  </si>
  <si>
    <t>Project Facilitator/Owner's Rep Name</t>
  </si>
  <si>
    <t>10040PT</t>
  </si>
  <si>
    <t>ProjFaciliatorContactTitle</t>
  </si>
  <si>
    <t>Project Faciliator Job Title</t>
  </si>
  <si>
    <t>Project facilitator title</t>
  </si>
  <si>
    <t>E7</t>
  </si>
  <si>
    <t>project_admin_title</t>
  </si>
  <si>
    <t>Project Faciliator Contact Job Title</t>
  </si>
  <si>
    <t>Project facilitator Title</t>
  </si>
  <si>
    <t>facilitator_contact_title</t>
  </si>
  <si>
    <t>Owner's Rep Title</t>
  </si>
  <si>
    <t>Project Facilitator/Owner's Rep Title</t>
  </si>
  <si>
    <t>10039P</t>
  </si>
  <si>
    <t>ProjFaciliatorContactEmail</t>
  </si>
  <si>
    <t>Project Faciliator Email</t>
  </si>
  <si>
    <t>Project facilitator email address.</t>
  </si>
  <si>
    <t>F7</t>
  </si>
  <si>
    <t>project_admin_email</t>
  </si>
  <si>
    <t>Project Faciliator email</t>
  </si>
  <si>
    <t>Project facilitator email address</t>
  </si>
  <si>
    <t>facilitator_contact_email</t>
  </si>
  <si>
    <t>Owner's Rep Email</t>
  </si>
  <si>
    <t>Project Facilitator/Owner's Rep Email</t>
  </si>
  <si>
    <t>10040P</t>
  </si>
  <si>
    <t>ProjFaciliatorContactPhone</t>
  </si>
  <si>
    <t>Project Faciliator Phone</t>
  </si>
  <si>
    <t>Project facilitator phone number.</t>
  </si>
  <si>
    <t>G7</t>
  </si>
  <si>
    <t>project_admin_phone</t>
  </si>
  <si>
    <t>Project Faciliator Contact Phone</t>
  </si>
  <si>
    <t>Project facilitator phone number</t>
  </si>
  <si>
    <t>facilitator_contact_phone</t>
  </si>
  <si>
    <t>Owner's Rep Phone</t>
  </si>
  <si>
    <t>Project Facilitator/Owner's Rep Phone</t>
  </si>
  <si>
    <t>CustNameOrg</t>
  </si>
  <si>
    <t>Customer Organization</t>
  </si>
  <si>
    <t>Name of customer organization.</t>
  </si>
  <si>
    <t>C8</t>
  </si>
  <si>
    <t>customer_institution</t>
  </si>
  <si>
    <t>Note that Customer and ESCO contact info are now separate fields from PI and PB data fields</t>
  </si>
  <si>
    <t>the customer/Project Initiator organization</t>
  </si>
  <si>
    <t>customer_contact_institution</t>
  </si>
  <si>
    <t>10038C</t>
  </si>
  <si>
    <t>CustContactName</t>
  </si>
  <si>
    <t>Customer Contact name</t>
  </si>
  <si>
    <t>Project manager (customer).</t>
  </si>
  <si>
    <t>D8</t>
  </si>
  <si>
    <t>customer_name</t>
  </si>
  <si>
    <t>Customer Contact Name</t>
  </si>
  <si>
    <t>Customer (Project Initator) contact person's name</t>
  </si>
  <si>
    <t>customer_contact_name</t>
  </si>
  <si>
    <t>Customer Name</t>
  </si>
  <si>
    <t>10040C1</t>
  </si>
  <si>
    <t>CustContactTitle</t>
  </si>
  <si>
    <t>Customer Contact Job Title</t>
  </si>
  <si>
    <t>Customer Contact Job Title.</t>
  </si>
  <si>
    <t>E8</t>
  </si>
  <si>
    <t>customer_title</t>
  </si>
  <si>
    <t>Customer contact job title</t>
  </si>
  <si>
    <t>customer_contact_title</t>
  </si>
  <si>
    <t>Customer Job Title</t>
  </si>
  <si>
    <t>10039C</t>
  </si>
  <si>
    <t>CustContactEmail</t>
  </si>
  <si>
    <t>Customer Contact email</t>
  </si>
  <si>
    <t>Project manager (customer) email address.</t>
  </si>
  <si>
    <t>F8</t>
  </si>
  <si>
    <t>customer_email</t>
  </si>
  <si>
    <t>Question for Mike: originally these customer cells were populated by the PI - Customer and PI were synonymous. What is this information now? The Customer (not the PI)?</t>
  </si>
  <si>
    <t>Project initiator (customer) email address</t>
  </si>
  <si>
    <t>customer_contact_email</t>
  </si>
  <si>
    <t>Customer Email</t>
  </si>
  <si>
    <t>10040C</t>
  </si>
  <si>
    <t>CustContactPhone</t>
  </si>
  <si>
    <t>Customer Contact phone</t>
  </si>
  <si>
    <t>Customer project manager phone number.</t>
  </si>
  <si>
    <t>G8</t>
  </si>
  <si>
    <t>customer_phone</t>
  </si>
  <si>
    <t>Customer Contact Phone</t>
  </si>
  <si>
    <t>Project manager (customer) phone number</t>
  </si>
  <si>
    <t>proj_mgr_contact_phone</t>
  </si>
  <si>
    <t>Customer Phone</t>
  </si>
  <si>
    <t>ESCOName</t>
  </si>
  <si>
    <t>ESCO Company Name (Project Builder)</t>
  </si>
  <si>
    <t>Name of contractor company</t>
  </si>
  <si>
    <t>C9</t>
  </si>
  <si>
    <t>project_builder_institution</t>
  </si>
  <si>
    <t>ESCO Company Name</t>
  </si>
  <si>
    <t>Name of energy service company</t>
  </si>
  <si>
    <t>esco_contact_institution</t>
  </si>
  <si>
    <t>Project Builder Organization</t>
  </si>
  <si>
    <t>10038E</t>
  </si>
  <si>
    <t>ESCOContactName</t>
  </si>
  <si>
    <t xml:space="preserve">ESCO (Project Builder)-Contact name </t>
  </si>
  <si>
    <t>Project manager at ESCO</t>
  </si>
  <si>
    <t>D9</t>
  </si>
  <si>
    <t>project_builder_name</t>
  </si>
  <si>
    <t xml:space="preserve">ESCO Contact Name </t>
  </si>
  <si>
    <t>ESCO contact person's name</t>
  </si>
  <si>
    <t>esco_contact_name</t>
  </si>
  <si>
    <t xml:space="preserve">Project Builder Name </t>
  </si>
  <si>
    <t>Project Builder Name</t>
  </si>
  <si>
    <t>10039E</t>
  </si>
  <si>
    <t>ESCOContactEmail</t>
  </si>
  <si>
    <t>ESCO (Project Builder)-Contact email</t>
  </si>
  <si>
    <t>ESCO project manager email address</t>
  </si>
  <si>
    <t>F9</t>
  </si>
  <si>
    <t>project_builder_email</t>
  </si>
  <si>
    <t>Question for Mike: originally these ESCO cells were populated by the PB - ESCO and PB were synonymous. What is this information now? The ESCO (not the PB)?</t>
  </si>
  <si>
    <t>ESCO Contact email</t>
  </si>
  <si>
    <t>ESCO (Project Builder) contact email address</t>
  </si>
  <si>
    <t>esco_contact_email</t>
  </si>
  <si>
    <t>Project Builder Email</t>
  </si>
  <si>
    <t>10040E</t>
  </si>
  <si>
    <t>ESCOContactPhone</t>
  </si>
  <si>
    <t>ESCO (Project Builder)-Contact phone</t>
  </si>
  <si>
    <t>ESCO project manager phone number.</t>
  </si>
  <si>
    <t>G9</t>
  </si>
  <si>
    <t>project_builder_phone</t>
  </si>
  <si>
    <t>ESCO Contact phone</t>
  </si>
  <si>
    <t>ESCO (Project Builder) contact phone number</t>
  </si>
  <si>
    <t>esco_contact_phone</t>
  </si>
  <si>
    <t>Project Builder Phone</t>
  </si>
  <si>
    <t>10040ES</t>
  </si>
  <si>
    <t>ESCOContactTitle</t>
  </si>
  <si>
    <t>ESCO (Project Builder)-Contact Job Title</t>
  </si>
  <si>
    <t>ESCO contact job title</t>
  </si>
  <si>
    <t>E9</t>
  </si>
  <si>
    <t>project_builder_title</t>
  </si>
  <si>
    <t>ALSO - we plan to change "ESCO" to "Contractor" throughout. I'm waiting for the OK from Shankar that he will change this in the template - before we finalize that we will change it in the UI</t>
  </si>
  <si>
    <t>ESCO Contact Job Title</t>
  </si>
  <si>
    <t>esco_contact_title</t>
  </si>
  <si>
    <t>Project Builder Job Title</t>
  </si>
  <si>
    <t>FinanceSpecialistInst</t>
  </si>
  <si>
    <t>Project Finance Specialist Institution</t>
  </si>
  <si>
    <t>Organization name for financing specialist</t>
  </si>
  <si>
    <t>C10</t>
  </si>
  <si>
    <t>financial_advisor_institution</t>
  </si>
  <si>
    <t>Institution/organization of the finance specialist</t>
  </si>
  <si>
    <t>finance_spec_contact_institution</t>
  </si>
  <si>
    <t>Finance Specialist Organization</t>
  </si>
  <si>
    <t>Financial Advisor Organization</t>
  </si>
  <si>
    <t>Financial Specialist/Advisor Organization</t>
  </si>
  <si>
    <t>10038FS</t>
  </si>
  <si>
    <t>FinanceSpecialistContactName</t>
  </si>
  <si>
    <t>Project Finance Specialist-Contact name</t>
  </si>
  <si>
    <t>Financing specialist contact name</t>
  </si>
  <si>
    <t>D10</t>
  </si>
  <si>
    <t>financial_advisor_name</t>
  </si>
  <si>
    <t>Finance Specialist Contact name</t>
  </si>
  <si>
    <t>finance_spec_contact_name</t>
  </si>
  <si>
    <t>Finance Specialist Name</t>
  </si>
  <si>
    <t>Financial Advisor Name</t>
  </si>
  <si>
    <t>Financial Specialist/Advisor Name</t>
  </si>
  <si>
    <t>10040FS1</t>
  </si>
  <si>
    <t>FinanceSpecialistJobTitle</t>
  </si>
  <si>
    <t>Project Finance Specialist-Contact Job Title</t>
  </si>
  <si>
    <t>Financing specialist job title</t>
  </si>
  <si>
    <t>E10</t>
  </si>
  <si>
    <t>financial_advisor_title</t>
  </si>
  <si>
    <t>Project Finance Specialist Contact Job Title</t>
  </si>
  <si>
    <t>finance_spec_contact_title</t>
  </si>
  <si>
    <t>Finance Specialist Job Title</t>
  </si>
  <si>
    <t>Financial Advisor Job Title</t>
  </si>
  <si>
    <t>Financial Specialist/Advisor Title</t>
  </si>
  <si>
    <t>10039FS</t>
  </si>
  <si>
    <t>FinanceSpecialistContactEmail</t>
  </si>
  <si>
    <t>Project Finance Specialist-Contact email</t>
  </si>
  <si>
    <t>Financing specialist contact email address.</t>
  </si>
  <si>
    <t>F10</t>
  </si>
  <si>
    <t>financial_advisor_email</t>
  </si>
  <si>
    <t>Project Finance Specialist email</t>
  </si>
  <si>
    <t>Financing specialist contact email address</t>
  </si>
  <si>
    <t>finance_spec_contact_email</t>
  </si>
  <si>
    <t>Finance Specialist Email</t>
  </si>
  <si>
    <t>Financial Advisor Email</t>
  </si>
  <si>
    <t>Financial Specialist/Advisor Email</t>
  </si>
  <si>
    <t>10040FS</t>
  </si>
  <si>
    <t>FinanceSpecialistContactPhone</t>
  </si>
  <si>
    <t>Finance Specialist-Contact phone</t>
  </si>
  <si>
    <t>Financing specialist contact phone number.</t>
  </si>
  <si>
    <t>G10</t>
  </si>
  <si>
    <t>financial_advisor_phone</t>
  </si>
  <si>
    <t>Finance Specialist Contact Phone</t>
  </si>
  <si>
    <t>Financing specialist contact phone number</t>
  </si>
  <si>
    <t>finance_spec_contact_phone</t>
  </si>
  <si>
    <t>Finance Specialist Phone</t>
  </si>
  <si>
    <t>Financial Advisor Phone</t>
  </si>
  <si>
    <t>Financial Specialist/Advisor Phone</t>
  </si>
  <si>
    <t>10038F</t>
  </si>
  <si>
    <t>FinancierContactName</t>
  </si>
  <si>
    <t>Primary Financier-Contact name</t>
  </si>
  <si>
    <t>Financier contact name</t>
  </si>
  <si>
    <t>D11</t>
  </si>
  <si>
    <t>financier_name</t>
  </si>
  <si>
    <t>Primary Financier Contact name</t>
  </si>
  <si>
    <t>financier_contact_name</t>
  </si>
  <si>
    <t>Primary Financier Contact</t>
  </si>
  <si>
    <t>Financier Name</t>
  </si>
  <si>
    <t>10040F1</t>
  </si>
  <si>
    <t>FinancierJobTitle</t>
  </si>
  <si>
    <t>Primary Financier-Contact Job Title</t>
  </si>
  <si>
    <t>Financier contact Job Title</t>
  </si>
  <si>
    <t>E11</t>
  </si>
  <si>
    <t>financier_title</t>
  </si>
  <si>
    <t>Primary Financier Contact Job Title</t>
  </si>
  <si>
    <t>Financier contact job title</t>
  </si>
  <si>
    <t>financier_contact_title</t>
  </si>
  <si>
    <t>Primary Financier Job Title</t>
  </si>
  <si>
    <t>Financier Job Title</t>
  </si>
  <si>
    <t>10039F</t>
  </si>
  <si>
    <t>FinancierContactEmail</t>
  </si>
  <si>
    <t>Primary Financier-Contact email</t>
  </si>
  <si>
    <t>Financier contact email address</t>
  </si>
  <si>
    <t>F11</t>
  </si>
  <si>
    <t>financier_email</t>
  </si>
  <si>
    <t>Primary Financier email</t>
  </si>
  <si>
    <t>financier_contact_email</t>
  </si>
  <si>
    <t>Primary Financier Email</t>
  </si>
  <si>
    <t>Financier Email</t>
  </si>
  <si>
    <t>10040F</t>
  </si>
  <si>
    <t>FinancierContactPhone</t>
  </si>
  <si>
    <t>Primary Financier-Contact phone</t>
  </si>
  <si>
    <t>Financier contact phone number</t>
  </si>
  <si>
    <t>G11</t>
  </si>
  <si>
    <t>financier_phone</t>
  </si>
  <si>
    <t>Primary Financier Contact phone</t>
  </si>
  <si>
    <t>financier_contact_phone</t>
  </si>
  <si>
    <t>Primary Financier phone</t>
  </si>
  <si>
    <t>Financier Phone</t>
  </si>
  <si>
    <t>ProjAgreementType</t>
  </si>
  <si>
    <t>Project agreement type</t>
  </si>
  <si>
    <t>Project agreement type (choose from list).</t>
  </si>
  <si>
    <t>List(Guaranteed Savings,Build-own-operate/Chauffage,Shared Savings,PPA,UESC,ESAs,Direct-funded,Other)</t>
  </si>
  <si>
    <t>C4</t>
  </si>
  <si>
    <t>Project Agreement Type</t>
  </si>
  <si>
    <t>project_agreement_type</t>
  </si>
  <si>
    <t>project_financing</t>
  </si>
  <si>
    <t>project_agreement_type_id</t>
  </si>
  <si>
    <t>project-agreement</t>
  </si>
  <si>
    <t>10048F</t>
  </si>
  <si>
    <t>ProjAwardDate</t>
  </si>
  <si>
    <t>Project Award Date</t>
  </si>
  <si>
    <t>Date of project contract signing</t>
  </si>
  <si>
    <t>C32</t>
  </si>
  <si>
    <t>contract_execution_date</t>
  </si>
  <si>
    <t>Shankar/Mike - is this the same field as what is entered in M&amp;V module?</t>
  </si>
  <si>
    <t>Primary Type of Financing</t>
  </si>
  <si>
    <t>award_date</t>
  </si>
  <si>
    <t>Contract Execution Date</t>
  </si>
  <si>
    <t>Project Award Date/Contract Execution Date</t>
  </si>
  <si>
    <t>TypeOfFinancing</t>
  </si>
  <si>
    <t xml:space="preserve">Primary Type of Financing (choose from list) </t>
  </si>
  <si>
    <t>Type of project financing (choose from list).</t>
  </si>
  <si>
    <t>List(Appropriation/Cash,Grant,Loan (ESCO),Loan (Customer),State/Local Bond,Lease,Other)</t>
  </si>
  <si>
    <t>Type of project financing</t>
  </si>
  <si>
    <t>primary_financing_type</t>
  </si>
  <si>
    <t>primary_financing_type_id</t>
  </si>
  <si>
    <t>financing-type</t>
  </si>
  <si>
    <t>financing_type</t>
  </si>
  <si>
    <t>10048Z</t>
  </si>
  <si>
    <t>TypeOfSFinancing</t>
  </si>
  <si>
    <t xml:space="preserve">Secondary Type of Financing (choose from list) </t>
  </si>
  <si>
    <t>C35</t>
  </si>
  <si>
    <t>Secondary Type of Financing</t>
  </si>
  <si>
    <t>secondary_financing_type</t>
  </si>
  <si>
    <t>secondary_financing_type_id</t>
  </si>
  <si>
    <t>10048A</t>
  </si>
  <si>
    <t>IssueDate</t>
  </si>
  <si>
    <t>Financing Issue Date (mm/dd/yyyy)</t>
  </si>
  <si>
    <t>Issue date of the loan, bond, financial index rate, etc.</t>
  </si>
  <si>
    <t>C31</t>
  </si>
  <si>
    <t>Financing Issue Date</t>
  </si>
  <si>
    <t>financing_issue_date</t>
  </si>
  <si>
    <t>ProjInterestRate</t>
  </si>
  <si>
    <t>Project Interest Rate (sum of two above inputs)</t>
  </si>
  <si>
    <t>Calculated field:  Financing index rate + added premium (%).</t>
  </si>
  <si>
    <t>C30</t>
  </si>
  <si>
    <t>Project Interest Rate</t>
  </si>
  <si>
    <t>Calculated field:  Financing index rate + added premium (%)</t>
  </si>
  <si>
    <t>project_interest_rate</t>
  </si>
  <si>
    <t>project_financing_calc</t>
  </si>
  <si>
    <t xml:space="preserve">epx </t>
  </si>
  <si>
    <t>Project Interest Rate (%)</t>
  </si>
  <si>
    <t>Finance Term (years)</t>
  </si>
  <si>
    <t>finance_term_years</t>
  </si>
  <si>
    <t>epx_project_financing</t>
  </si>
  <si>
    <t>Finance Term (Years)</t>
  </si>
  <si>
    <t>10036A</t>
  </si>
  <si>
    <t>ContractTerm</t>
  </si>
  <si>
    <t>Performance Period (years)</t>
  </si>
  <si>
    <t>Length of performance period in years; performance period starts once project has been accepted by the customer after construction.</t>
  </si>
  <si>
    <t>C27</t>
  </si>
  <si>
    <t xml:space="preserve">We changed this in version 1.99. This field is now Performance Period. What we call Contract Term is now Implementation Period PLUS Performance Period. So this field is now Performance Period.  Is the db field name for this still ContractTerm - even though this field is performance period and Contract Term is something else?  </t>
  </si>
  <si>
    <t xml:space="preserve">Performance Period </t>
  </si>
  <si>
    <t>"Years"</t>
  </si>
  <si>
    <t>Calculated field:  Length of contract term (derived from amortization tables).</t>
  </si>
  <si>
    <t>performance_period_years</t>
  </si>
  <si>
    <t>Performance Period (Years)</t>
  </si>
  <si>
    <t>Planned Guarantee (years)</t>
  </si>
  <si>
    <t xml:space="preserve">planned_guarantee_years </t>
  </si>
  <si>
    <t>Planned Guarantee (Years)</t>
  </si>
  <si>
    <t>AMonitorPeriod</t>
  </si>
  <si>
    <t>Monitoring Period</t>
  </si>
  <si>
    <t>Number of years M&amp;V will be conducted</t>
  </si>
  <si>
    <t>Not in template - NAESCO-specific project-level field</t>
  </si>
  <si>
    <t>planned_mv_term_years</t>
  </si>
  <si>
    <t>Accreditation</t>
  </si>
  <si>
    <t>Note - this is same as ESC's proposed field on the streamlined summary schedule</t>
  </si>
  <si>
    <t>mv_monitor_period</t>
  </si>
  <si>
    <t>accred</t>
  </si>
  <si>
    <t>project_info</t>
  </si>
  <si>
    <t>monitor_period</t>
  </si>
  <si>
    <t>Monitoring Period (Years)</t>
  </si>
  <si>
    <t>Planned M&amp;V Term (Years)</t>
  </si>
  <si>
    <t>Monitoring Period/Planned M&amp;V Term (Years)</t>
  </si>
  <si>
    <t>ElectricUtility</t>
  </si>
  <si>
    <t>Primary Electric Utility</t>
  </si>
  <si>
    <t>Name of utility providing majority of the electricity</t>
  </si>
  <si>
    <t>C40</t>
  </si>
  <si>
    <t>primary_electric_utility</t>
  </si>
  <si>
    <t>project_other</t>
  </si>
  <si>
    <t>10004N</t>
  </si>
  <si>
    <t>NGUtility</t>
  </si>
  <si>
    <t>Primary Natural Gas Utility</t>
  </si>
  <si>
    <t>Name of utility providing majority of the natural gas to the facilities affected by this project</t>
  </si>
  <si>
    <t>C41</t>
  </si>
  <si>
    <t>Name of utility providing majority of the NG</t>
  </si>
  <si>
    <t>primary_gas_utility</t>
  </si>
  <si>
    <t>10004W</t>
  </si>
  <si>
    <t>WaterUtility</t>
  </si>
  <si>
    <t>Primary Water Utility</t>
  </si>
  <si>
    <t>Name of utility providing majority of the Water</t>
  </si>
  <si>
    <t>C42</t>
  </si>
  <si>
    <t>Name of utility providing majority of the water</t>
  </si>
  <si>
    <t>primary_water_utility</t>
  </si>
  <si>
    <t>Other Heating Source Providers</t>
  </si>
  <si>
    <t>other_heating_source_providers</t>
  </si>
  <si>
    <t>epx_other</t>
  </si>
  <si>
    <t>Diversity Requirements Met (choose yes or no from dropdown)</t>
  </si>
  <si>
    <t>List(Yes,No)</t>
  </si>
  <si>
    <t>diversity_requirements_met</t>
  </si>
  <si>
    <t>Diversity Requirements Met</t>
  </si>
  <si>
    <t>Solar PV: Total Capacity to be Installed (kWh)</t>
  </si>
  <si>
    <t>total_solar_pv_capacity</t>
  </si>
  <si>
    <t>Total Installed Solar PV Capacity</t>
  </si>
  <si>
    <t>Escalation rate table included and saved as a file in ePB (choose yes or no from dropdown)</t>
  </si>
  <si>
    <t>rate_table_included</t>
  </si>
  <si>
    <t>Escalation Rate Table Included (%)</t>
  </si>
  <si>
    <t>List</t>
  </si>
  <si>
    <t>non_facility_measure</t>
  </si>
  <si>
    <t>nonfacility_measures</t>
  </si>
  <si>
    <t>non-facility-measure</t>
  </si>
  <si>
    <t>10014A</t>
  </si>
  <si>
    <t>ListOfSites</t>
  </si>
  <si>
    <t xml:space="preserve">List of Sites in Project </t>
  </si>
  <si>
    <t>List of affected sites (separate site names with commas).</t>
  </si>
  <si>
    <t>G14</t>
  </si>
  <si>
    <t>List of affected sites</t>
  </si>
  <si>
    <t>site_list</t>
  </si>
  <si>
    <t>List of Sites in Project</t>
  </si>
  <si>
    <t>NumberOfBuildings</t>
  </si>
  <si>
    <t>Number of Buildings in Project</t>
  </si>
  <si>
    <t>Number of buildings affected by the  project</t>
  </si>
  <si>
    <t>G15</t>
  </si>
  <si>
    <t>No. of Buildings in Project</t>
  </si>
  <si>
    <t>Number of affected buildings</t>
  </si>
  <si>
    <t>num_buildings</t>
  </si>
  <si>
    <t>number_of_buildings</t>
  </si>
  <si>
    <t>10015A</t>
  </si>
  <si>
    <t>ListOfBuildings</t>
  </si>
  <si>
    <t>List of buildings in Project</t>
  </si>
  <si>
    <t>List of affected buildings (separate building names with commas).</t>
  </si>
  <si>
    <t>G16</t>
  </si>
  <si>
    <t>List of Buildings in Project</t>
  </si>
  <si>
    <t>List of affected buildings</t>
  </si>
  <si>
    <t>building_list</t>
  </si>
  <si>
    <t>FloorArea</t>
  </si>
  <si>
    <t>Total Floor Area Affected by project (Square Feet)</t>
  </si>
  <si>
    <t>Floor area affected by project (square feet)</t>
  </si>
  <si>
    <t xml:space="preserve">Total Floor Area of project </t>
  </si>
  <si>
    <t>"Sq. ft."</t>
  </si>
  <si>
    <t>floor_area_sqft</t>
  </si>
  <si>
    <t>Total Floor Area of project (Sq. Ft.)</t>
  </si>
  <si>
    <t>Average Annual Electrical Energy Consumption of Affected Buildings (kWh/yr)</t>
  </si>
  <si>
    <t>ePX</t>
  </si>
  <si>
    <t>elec_avg_annual_energy_consump</t>
  </si>
  <si>
    <t>Avg Annual Electric Consumption (kWh/yr)</t>
  </si>
  <si>
    <t>Average Annual Electric Demand Charges for Affected Buildings ($/yr)</t>
  </si>
  <si>
    <t>demand_avg_annual_cost</t>
  </si>
  <si>
    <t>Avg Annual Electric Demand Charges ($/yr)</t>
  </si>
  <si>
    <t>Average Annual Natural Gas Energy Consumption of Affected Buildings (qty)</t>
  </si>
  <si>
    <t>nat_gas_avg_annual_energy_consump</t>
  </si>
  <si>
    <t>Avg Annual Natural Gas Consumption</t>
  </si>
  <si>
    <t>Originally marked as "N/A (new ePX field)" - but this is NOT a new field. It is Energy Type 1</t>
  </si>
  <si>
    <t>Average Annual Other1 Heating Fuel Energy Consumption of Affected Buildings (fuel type)</t>
  </si>
  <si>
    <t>Dropdown/List</t>
  </si>
  <si>
    <t>Avg Annual Other1 Heating Fuel Consumption - Type</t>
  </si>
  <si>
    <t>Average Annual Other1 Heating Fuel Energy Consumption of Affected Buildings (qty)</t>
  </si>
  <si>
    <t>other1_avg_annual_energy_consump</t>
  </si>
  <si>
    <t>Avg Annual Other1 Heating Fuel Consumption - Qty</t>
  </si>
  <si>
    <t>Originally marked as "N/A (new ePX field)" - but this is NOT a new field. It is Energy Type 2</t>
  </si>
  <si>
    <t>Average Annual Other2 Heating Fuel Energy Consumption of Affected Buildings (fuel type)</t>
  </si>
  <si>
    <t>Avg Annual Other2 Heating Fuel Consumption - Type</t>
  </si>
  <si>
    <t>Average Annual Other2 Heating Fuel Energy Consumption of Affected Buildings (qty)</t>
  </si>
  <si>
    <t>other2_avg_annual_energy_consump</t>
  </si>
  <si>
    <t>Avg Annual Other2 Heating Fuel Consumption - Qty</t>
  </si>
  <si>
    <t>Average Annual Water Consumption of Affected Buildings (kgal)</t>
  </si>
  <si>
    <t>water_avg_annual_consump</t>
  </si>
  <si>
    <t>Avg Annual Water Consumption (kGal)</t>
  </si>
  <si>
    <t>ConstrPeriod</t>
  </si>
  <si>
    <t>Implementation Period (Months)</t>
  </si>
  <si>
    <t>Estimated construction period in months.</t>
  </si>
  <si>
    <t>G20</t>
  </si>
  <si>
    <t>Implementation Period</t>
  </si>
  <si>
    <t>"Months"</t>
  </si>
  <si>
    <t>impl_period_months</t>
  </si>
  <si>
    <t>implementation_period_months</t>
  </si>
  <si>
    <t>Duplicate fields - removing</t>
  </si>
  <si>
    <t>TotProjImplCost</t>
  </si>
  <si>
    <t xml:space="preserve">Total Project Implementation Price (excl. financing) </t>
  </si>
  <si>
    <t xml:space="preserve">Total project implementation cost as sum of all ECMs implementation price, net of up-front incentives.  Does not include financing and interest payments ($).  </t>
  </si>
  <si>
    <t>L259</t>
  </si>
  <si>
    <t>Updated description to indicate it is total of all ECM impl price - net of incentives. Also is on Summary Schedule and Schedule 2b. The UI Field name should be "Total Implementation Price" - not Cost</t>
  </si>
  <si>
    <t xml:space="preserve">Total Project Implem. Price (excl. financing) </t>
  </si>
  <si>
    <t>Implementation Price</t>
  </si>
  <si>
    <t>Total project implementation cost by funding source; does not include financing and interest payments ($)</t>
  </si>
  <si>
    <t>total_implementation_price</t>
  </si>
  <si>
    <t>ecm_project_total</t>
  </si>
  <si>
    <t>Total Project Implementation Price ($)</t>
  </si>
  <si>
    <t>Total Amount of Incentives Anticipated</t>
  </si>
  <si>
    <t>amt_of_incentives_anticipated</t>
  </si>
  <si>
    <t>Total Amount of Incentives ($)</t>
  </si>
  <si>
    <t>TotAmtFinanced</t>
  </si>
  <si>
    <t>Total Amount Financed</t>
  </si>
  <si>
    <t>Total amount to be financed (principal) ($).</t>
  </si>
  <si>
    <t>G30</t>
  </si>
  <si>
    <t>Amount to be financed (principal) ($)</t>
  </si>
  <si>
    <t>total_amount_financed</t>
  </si>
  <si>
    <t>project_capitalization_calc</t>
  </si>
  <si>
    <t>/portfolio/{projectId}/capitalization</t>
  </si>
  <si>
    <t>Total Amount Financed ($)</t>
  </si>
  <si>
    <t>TotContPayments</t>
  </si>
  <si>
    <t>Total Payments (includes financing)</t>
  </si>
  <si>
    <t>Calculated field: Schedule-1'!D37</t>
  </si>
  <si>
    <t>G39</t>
  </si>
  <si>
    <t>total_contract_payments</t>
  </si>
  <si>
    <t>January 2017 - the db field says "TotPayments" but the original "Yong-list" had"TotContPayments -did we change the ePB db field name? - and - in the Accred List the db field name is TotContPayments - which is correct?</t>
  </si>
  <si>
    <t>Calculated field: Total of all payments for the project</t>
  </si>
  <si>
    <t>performance_period_total</t>
  </si>
  <si>
    <t>Total Payments ($)</t>
  </si>
  <si>
    <t>TotMVPerfPeriodExp</t>
  </si>
  <si>
    <t xml:space="preserve">TOTAL M&amp;V -  Performance Period Expense </t>
  </si>
  <si>
    <t xml:space="preserve">Calculated field: Total M&amp;V -  performance period expense ($). </t>
  </si>
  <si>
    <t>AC15</t>
  </si>
  <si>
    <t>est_full_term_mv_price</t>
  </si>
  <si>
    <t>Need more accurate description</t>
  </si>
  <si>
    <t xml:space="preserve">Total M&amp;V - Perform. Period Expense </t>
  </si>
  <si>
    <t>Total Perform Assurance Expenses</t>
  </si>
  <si>
    <t>Calculated field: Total M&amp;V - performance period expense ($)</t>
  </si>
  <si>
    <t>total_mv</t>
  </si>
  <si>
    <t>Total M&amp;V/PA - Performance Period Expense ($)</t>
  </si>
  <si>
    <t>Estimated Full Term M&amp;V Price ($)</t>
  </si>
  <si>
    <t>Total M&amp;V Expense/Price ($)</t>
  </si>
  <si>
    <t>10030L</t>
  </si>
  <si>
    <t>LoanStDate</t>
  </si>
  <si>
    <t>Start date of Performance Period</t>
  </si>
  <si>
    <t>Date from which the payments start for the incurred loan, assumed when the performance period begins for ESPC projects</t>
  </si>
  <si>
    <t>G32</t>
  </si>
  <si>
    <t>Start Date of Performance Period/Loan</t>
  </si>
  <si>
    <t>Date from which the payments start for the incurred loan</t>
  </si>
  <si>
    <t>start_date_of_performance_period</t>
  </si>
  <si>
    <t>Performance Period/Loan Start Date</t>
  </si>
  <si>
    <t>Performance Period Start Date</t>
  </si>
  <si>
    <t>TotEstElecSavingskWh</t>
  </si>
  <si>
    <t>Estimated Project annual savings - Electricity use (kWh)</t>
  </si>
  <si>
    <t>Calculated field: Projected electricity savings  for the year (kWh).</t>
  </si>
  <si>
    <t>P258</t>
  </si>
  <si>
    <t>ann_est_elec_energy_savings</t>
  </si>
  <si>
    <t>Proj. Estim annual savings - Electricity use</t>
  </si>
  <si>
    <t>elec_use_energy_proj_est_savings</t>
  </si>
  <si>
    <t>Estimated Project Annual Savings - Electricity (kWh)</t>
  </si>
  <si>
    <t>Annual Estimated Electric Energy Savings (kWh)</t>
  </si>
  <si>
    <t>TotEstWaterSavingsKGal</t>
  </si>
  <si>
    <t>Estimated Project annual savings - Water use (kGal)</t>
  </si>
  <si>
    <t>Calculated field: Projected water savings for the year, if the project involved water conservation (kGal).</t>
  </si>
  <si>
    <t>AB258</t>
  </si>
  <si>
    <t>ann_est_water_savings</t>
  </si>
  <si>
    <t>This is the Schedule 4 location of this field - it is a duplicate of the Summary Schedule location of estimated annual water savings</t>
  </si>
  <si>
    <t>Proj. Estim. annual savings - Water use</t>
  </si>
  <si>
    <t>kGal</t>
  </si>
  <si>
    <t>Calculated field: Projected water savings for the year, if the project involved water conservation (kGal)</t>
  </si>
  <si>
    <t>water_use_proj_est_savings</t>
  </si>
  <si>
    <t>Estimated Project Annual Savings - Water (kGal)</t>
  </si>
  <si>
    <t>Annual Estimated Water Savings (kGal)</t>
  </si>
  <si>
    <t>TotEstProjSavingsAmt</t>
  </si>
  <si>
    <t>Total Estimated Project Cost Savings ($)</t>
  </si>
  <si>
    <t>Calculated field:  Total projected dollar equivalent of resource savings for the year INCLUDING O&amp;M and other non-energy resource savings AND including both the implementation period and the performance period over the term of the contract ($).</t>
  </si>
  <si>
    <t>G37</t>
  </si>
  <si>
    <t>Total Contract project estimated cost savings including implementation period and performance period</t>
  </si>
  <si>
    <t>Total Estimated Project Cost Savings</t>
  </si>
  <si>
    <t>Calculated field:  Total projected dollar equivalent of resource savings (including O&amp;M and other non-energy resource savings) over the term of the contract including implementation period ($)</t>
  </si>
  <si>
    <t>total_est_cost_savings</t>
  </si>
  <si>
    <t>project_financial_summary_calc</t>
  </si>
  <si>
    <t>TotGuarCostSavings</t>
  </si>
  <si>
    <t>Total Guaranteed Cost Savings ($) for Implementation Period Plus Performance Period</t>
  </si>
  <si>
    <t>C37</t>
  </si>
  <si>
    <t>Total Guaranteed Cost Savings</t>
  </si>
  <si>
    <t>total_guar_cost_savings</t>
  </si>
  <si>
    <t>Total Guaranteed Cost Savings ($)</t>
  </si>
  <si>
    <t>10140A</t>
  </si>
  <si>
    <t>GuarPctEstSavings</t>
  </si>
  <si>
    <t>Guarantee % of Estimated Savings</t>
  </si>
  <si>
    <t>Guarantee % of estimated savings (%).</t>
  </si>
  <si>
    <t>C38</t>
  </si>
  <si>
    <t xml:space="preserve">Perform. Guarantee Percent </t>
  </si>
  <si>
    <t>Percent Savings devoted to Payments</t>
  </si>
  <si>
    <t>guar_pct_est_sav</t>
  </si>
  <si>
    <t>Performance Guarantee % / % Savings Devoted to Payments</t>
  </si>
  <si>
    <t>Guarantee Percent of Estimated Savings</t>
  </si>
  <si>
    <t>Performance Guarantee % /Guarantee % of Estimated Savings</t>
  </si>
  <si>
    <t>User defined data field #1</t>
  </si>
  <si>
    <t>Text/general</t>
  </si>
  <si>
    <t>user_defined_field_1</t>
  </si>
  <si>
    <t>user_fields</t>
  </si>
  <si>
    <t>field_1</t>
  </si>
  <si>
    <t>User Defined Field #1</t>
  </si>
  <si>
    <t>11001h</t>
  </si>
  <si>
    <t>CNotesSS</t>
  </si>
  <si>
    <t>Custom Notes- Summary Schedule</t>
  </si>
  <si>
    <t>Text (Long Blob)</t>
  </si>
  <si>
    <t>A52</t>
  </si>
  <si>
    <t>Notes- Summary Schedule</t>
  </si>
  <si>
    <t>summary_template_notes</t>
  </si>
  <si>
    <t>template_notes</t>
  </si>
  <si>
    <t>epx - different name (not included in A/R)</t>
  </si>
  <si>
    <t>Value for user defined field #1</t>
  </si>
  <si>
    <t>user_defined_value_1</t>
  </si>
  <si>
    <t>value_1</t>
  </si>
  <si>
    <t>User Defined Field #1 - Value</t>
  </si>
  <si>
    <t>User defined data field #2</t>
  </si>
  <si>
    <t>user_defined_field_2</t>
  </si>
  <si>
    <t>field_2</t>
  </si>
  <si>
    <t>User Defined Field #2</t>
  </si>
  <si>
    <t>Value for user defined field #2</t>
  </si>
  <si>
    <t>user_defined_value_2</t>
  </si>
  <si>
    <t>value_2</t>
  </si>
  <si>
    <t>User Defined Field #2 - Value</t>
  </si>
  <si>
    <t>10050J</t>
  </si>
  <si>
    <t>EscRateOtherSavings1Type</t>
  </si>
  <si>
    <t>Escalation rates- Other Savings 1 Type</t>
  </si>
  <si>
    <t>Type of other savings 1 (choose from list).</t>
  </si>
  <si>
    <t>List(Coal, Diesel, Gasoline, Heating Oil, Jet Fuel, Purchased Steam, Chilled Water, Propane, Other)</t>
  </si>
  <si>
    <t>E4</t>
  </si>
  <si>
    <t>Escalation Rates- Other Savings 1 Type</t>
  </si>
  <si>
    <t>Type of other savings 1</t>
  </si>
  <si>
    <t>other_savings_type_1</t>
  </si>
  <si>
    <t>Other Savings 1 Type</t>
  </si>
  <si>
    <t>10050K</t>
  </si>
  <si>
    <t>EscRateOtherSavings2Type</t>
  </si>
  <si>
    <t>Escalation rates- Other Savings 2 Type</t>
  </si>
  <si>
    <t>Type of other savings 2 (choose from list).</t>
  </si>
  <si>
    <t>F4</t>
  </si>
  <si>
    <t>Escalation Rates- Other Savings 2 Type</t>
  </si>
  <si>
    <t>Type of other savings 2</t>
  </si>
  <si>
    <t>other_savings_type_2</t>
  </si>
  <si>
    <t>Other Savings 2 Type</t>
  </si>
  <si>
    <t>11001a</t>
  </si>
  <si>
    <t>CNotesER</t>
  </si>
  <si>
    <t>Custom Notes- Escalation Rates</t>
  </si>
  <si>
    <t>A36</t>
  </si>
  <si>
    <t>Notes- Esc Rates</t>
  </si>
  <si>
    <t>esc_rate_template_notes</t>
  </si>
  <si>
    <t>Database only so far - derived from user account info</t>
  </si>
  <si>
    <t>Derived from user account info</t>
  </si>
  <si>
    <t>These are not in the template or data dictionary. I don't know what the db field name is. We may want to display this in the UI - and we'll definitely want this available for analysis/reporting feature and the .csv data dump</t>
  </si>
  <si>
    <t>PB Email</t>
  </si>
  <si>
    <t>pb_contact_email</t>
  </si>
  <si>
    <t>These are separate fields for the PB (versus the ESCO) - need to discuss with programmers steps for having separate fields for PB versus ESCO</t>
  </si>
  <si>
    <t>PB Job Title</t>
  </si>
  <si>
    <t>pb_contact_title</t>
  </si>
  <si>
    <t>PB Name</t>
  </si>
  <si>
    <t>pb_contact_name</t>
  </si>
  <si>
    <t>PB Organization</t>
  </si>
  <si>
    <t>pb_contact_institution</t>
  </si>
  <si>
    <t>PB Phone</t>
  </si>
  <si>
    <t>pb_contact_phone</t>
  </si>
  <si>
    <t>Project Initiator Email</t>
  </si>
  <si>
    <t>PI Email</t>
  </si>
  <si>
    <t>pi_contact_email</t>
  </si>
  <si>
    <t>These are separate fields for the PI (versus the customer) - need to discuss with programmers steps for having separate fields for PB versus ESCO</t>
  </si>
  <si>
    <t>Project Initiator Job Title</t>
  </si>
  <si>
    <t>PI Title</t>
  </si>
  <si>
    <t>pi_contact_title</t>
  </si>
  <si>
    <t>Project Initiator Name</t>
  </si>
  <si>
    <t>PI Name</t>
  </si>
  <si>
    <t>pi_contact_name</t>
  </si>
  <si>
    <t>Project Initiator Organization</t>
  </si>
  <si>
    <t>PI Organization</t>
  </si>
  <si>
    <t>pi_contact_institution</t>
  </si>
  <si>
    <t>Project Initiator Phone</t>
  </si>
  <si>
    <t>PI Phone</t>
  </si>
  <si>
    <t>pi_contact_phone</t>
  </si>
  <si>
    <t>10006h</t>
  </si>
  <si>
    <t>AwardDate</t>
  </si>
  <si>
    <t>Award Date</t>
  </si>
  <si>
    <t>Indicate date project contract was signed/project was awarded. Denotes beginning of implementation period. This field/data can only be filled out for post installation M&amp;V report (Year 0) (mm/dd/yyyy)</t>
  </si>
  <si>
    <t>Shankar/Mike - is this the same field as the one entered into the template?</t>
  </si>
  <si>
    <t>Date of contract signing</t>
  </si>
  <si>
    <t>mv_award_date</t>
  </si>
  <si>
    <t>CummProjLostCostAmtAgency</t>
  </si>
  <si>
    <t>Project-Level: Cumulative Lost cost-savings for all performance years to date for all ECMs attributable to the agency ($)</t>
  </si>
  <si>
    <t>Cummulative cost savings lost due to Agency's impact on a project</t>
  </si>
  <si>
    <t>Cumulative Sum of RptECMLostCostAmt for all measures in the project for all the reported years</t>
  </si>
  <si>
    <t>**We aren't using this field I don't think</t>
  </si>
  <si>
    <t>Cumulative Lost cost-savings for all performance years to date for all ECMs attributable to the ESCO or equipment failure</t>
  </si>
  <si>
    <t>mv_savings_impact_agency_cost</t>
  </si>
  <si>
    <t>CumProjAgencyCost</t>
  </si>
  <si>
    <t>Cumulative Lost Cost Savings - Contractor or Equipment Failure ($)</t>
  </si>
  <si>
    <t>CummProjLostCostAmtESCO</t>
  </si>
  <si>
    <t>Project-Level: Cumulative Lost cost-savings for all performance years to date for all ECMs attributable to the ESCO or equipment failure ($)</t>
  </si>
  <si>
    <t>Cummulative cost savings lost due to ESCO's impact on a project</t>
  </si>
  <si>
    <t>Cummulative Sum of RptECMLostCostAmtESCO for all measures in the project for all the reported years</t>
  </si>
  <si>
    <t>Cumulative energy savings for all performance years to date for all ECMs attributable to the ESCO or equipment failure</t>
  </si>
  <si>
    <t>mv_savings_impact_esco_cost</t>
  </si>
  <si>
    <t>CumProjAgencyEnergy</t>
  </si>
  <si>
    <t>Cumulative Lost Energy Savings - Contractor or Equipment Failure ($)</t>
  </si>
  <si>
    <t>CummProjLostEngyAgency</t>
  </si>
  <si>
    <t>Project-Level: Cumulative Lost energy savings for all performance years to date for all ECMs attributable to the agency (blended MMBtu)</t>
  </si>
  <si>
    <t>Cummulative energy savings lost due to Agency's impact on a project</t>
  </si>
  <si>
    <t>Cummulative Sum of RptECMLostEnrg for all measures in the project for all the reported years</t>
  </si>
  <si>
    <t>Cumulative Lost cost-savings for all performance years to date for all ECMs attributable to the agency</t>
  </si>
  <si>
    <t>mv_savings_impact_agency_energy</t>
  </si>
  <si>
    <t>CumProjESCOCost</t>
  </si>
  <si>
    <t>Cumulative Lost Cost-Savings - Customer (MMBtu)</t>
  </si>
  <si>
    <t>CummProjLostEngyESCO</t>
  </si>
  <si>
    <t>Project-Level: Cumulative energy savings for all performance years to date for all ECMs attributable to the ESCO or equipment failure (blended MMBtu)</t>
  </si>
  <si>
    <t>Cummulative energy savings lost due to ESCO's impact on a project</t>
  </si>
  <si>
    <t>Cummulative Sum of RptECMLostEngyESCO for all measures in the project  for all the reported years</t>
  </si>
  <si>
    <t xml:space="preserve">Cumulative Lost energy savings for all performance years to date for all ECMs attributable to the agency </t>
  </si>
  <si>
    <t>mv_savings_impact_esco_energy</t>
  </si>
  <si>
    <t>CumProjESCOEnergy</t>
  </si>
  <si>
    <t>Cumulative Lost Energy Savings - Customer (MMBtu)</t>
  </si>
  <si>
    <t>10006c</t>
  </si>
  <si>
    <t>PPBegDate</t>
  </si>
  <si>
    <t>Performance Period Begin Date</t>
  </si>
  <si>
    <t>Indicate beginning date for performance period year</t>
  </si>
  <si>
    <t>mv_perf_begin_date</t>
  </si>
  <si>
    <t>10006d</t>
  </si>
  <si>
    <t>PPEndDate</t>
  </si>
  <si>
    <t>Performance Period End Date</t>
  </si>
  <si>
    <t>Indicate end date for performance period year</t>
  </si>
  <si>
    <t>mv_perf_end_date</t>
  </si>
  <si>
    <t>10006e</t>
  </si>
  <si>
    <t>PPRevDate</t>
  </si>
  <si>
    <t>Next Year M&amp;V Report Due Date</t>
  </si>
  <si>
    <t>Indicate due date for next year'sannual M&amp;V report.</t>
  </si>
  <si>
    <t>M&amp;V Report Reviewed Date</t>
  </si>
  <si>
    <t>PA report Reviewed Date</t>
  </si>
  <si>
    <t>mv_review_date</t>
  </si>
  <si>
    <t>M&amp;V/PA Report Reviewed Date</t>
  </si>
  <si>
    <t>10010m</t>
  </si>
  <si>
    <t>RptCumTotCostSavingsAmt</t>
  </si>
  <si>
    <t>Project-Level: Cumulative verified TOTAL cost savings to date for all performance years to date</t>
  </si>
  <si>
    <t>Cumulative verified TOTAL cost savings to date for project</t>
  </si>
  <si>
    <t>Cummulative Sum of RptTotEnergySavings for all the reported years</t>
  </si>
  <si>
    <t>Derived- will be on the output summary/dashboard</t>
  </si>
  <si>
    <t>Project Cumulative verified TOTAL cost savings to date for all performance years to date</t>
  </si>
  <si>
    <t>mv_sum_total_energy_savings</t>
  </si>
  <si>
    <t>RptCumTotCostSavings</t>
  </si>
  <si>
    <t>Project Cumulative Verified Total Cost Savings to Date ($)</t>
  </si>
  <si>
    <t>10010l</t>
  </si>
  <si>
    <t>RptCumTotEnergySavings</t>
  </si>
  <si>
    <t>Project-Level: Cumulative verified energy savings to date for all performance years to date (MMBTU)</t>
  </si>
  <si>
    <t>Cumulative verified energy savings to date for project</t>
  </si>
  <si>
    <t>Cummulative Sum of RptTotalCostSavingsAmt for all the reported years</t>
  </si>
  <si>
    <t xml:space="preserve">Project Cumulative verified energy savings to date for all performance years to date </t>
  </si>
  <si>
    <t>MMBTU</t>
  </si>
  <si>
    <t>mv_sum_total_cost_savings</t>
  </si>
  <si>
    <t>Project Cumulative Verified Energy Savings to Date (MMBtu)</t>
  </si>
  <si>
    <t>10017m</t>
  </si>
  <si>
    <t>RptProjBaselineElecDemandKW</t>
  </si>
  <si>
    <t xml:space="preserve">Year N-Adjusted-Baseline-Electricity demand for the project (kW/mo) </t>
  </si>
  <si>
    <t>Annual Reported baseline electric demand (kW/mo)  for the project</t>
  </si>
  <si>
    <t>Adjusted Baseline</t>
  </si>
  <si>
    <t>Sum of all 30017m corresponding to each of the ECMs</t>
  </si>
  <si>
    <t>Project - Adjusted Baseline</t>
  </si>
  <si>
    <t xml:space="preserve">Proj. Year N-Adjusted-Baseline-Electricity demand </t>
  </si>
  <si>
    <t>mv_elec_demand_proj_baseline</t>
  </si>
  <si>
    <t>mv_project_baseline</t>
  </si>
  <si>
    <t>Proj. Year N-Adjusted-Baseline-Electricity Demand  (kW/mo)</t>
  </si>
  <si>
    <t>10016m</t>
  </si>
  <si>
    <t>RptProjBaselineElecKWh</t>
  </si>
  <si>
    <t>Year N-Adjusted Baseline Electricity usage for the project(kWh)</t>
  </si>
  <si>
    <t>Annual Reported baseline electricity usage (kWh) for the project</t>
  </si>
  <si>
    <t>Sum of all 30016m corresponding to each of the ECMs</t>
  </si>
  <si>
    <t xml:space="preserve">Proj. Year N-Adjusted Baseline Electricity usage </t>
  </si>
  <si>
    <t>kWH</t>
  </si>
  <si>
    <t>mv_elec_use_proj_baseline</t>
  </si>
  <si>
    <t>Proj. Year N-Adjusted Baseline Electricity Usage  (kWh)</t>
  </si>
  <si>
    <t>10021m</t>
  </si>
  <si>
    <t>RptProjBaselineEnergyRsrcAmt</t>
  </si>
  <si>
    <t>Year N-Adjusted-Baseline- Energy and resource costs for the project ($)</t>
  </si>
  <si>
    <t>Annual Reported baseline-resource consumption costs NOT including O&amp;M and other non-energy resource costs ($)  for the project</t>
  </si>
  <si>
    <t>Sum of all 30023m corresponding to each of the ECMs</t>
  </si>
  <si>
    <t>Proj. Year N-Adjusted-Baseline- Energy and resource costs</t>
  </si>
  <si>
    <t>mv_energy_resource_proj_baseline</t>
  </si>
  <si>
    <t>Proj. Year N-Adjusted-Baseline- Energy and Resource Costs ($)</t>
  </si>
  <si>
    <t>10019m</t>
  </si>
  <si>
    <t>RptProjBaselineNGMMBtu</t>
  </si>
  <si>
    <t>Year N-Adjusted-Baseline-Natural gas usage for the project (MMBtu)</t>
  </si>
  <si>
    <t>Annual Reported baseline natural gas usage (MMBtu)  for the project</t>
  </si>
  <si>
    <t>Sum of all 30019m corresponding to each of the ECMs</t>
  </si>
  <si>
    <t>Proj. Year N-Adjusted-Baseline-Natural gas usage</t>
  </si>
  <si>
    <t>mv_ng_proj_baseline</t>
  </si>
  <si>
    <t>Proj. Year N-Adjusted-Baseline-Natural Gas Usage (MMBtu)</t>
  </si>
  <si>
    <t>10025m</t>
  </si>
  <si>
    <t>RptProjBaselineNonEnergyCost</t>
  </si>
  <si>
    <t>Year N-Adjusted-Baseline-Other non-energy costs for the project ($)</t>
  </si>
  <si>
    <t>Annual Reported baseline - other non-energy costs ($)  for the project</t>
  </si>
  <si>
    <t>Sum of all 30025m corresponding to each of the ECMs</t>
  </si>
  <si>
    <t>Proj. Year N-Adjusted-Baseline-Other non-energy costs</t>
  </si>
  <si>
    <t>mv_non_energy_proj_baseline</t>
  </si>
  <si>
    <t xml:space="preserve">RptProjBaselineNonEnergyCost
</t>
  </si>
  <si>
    <t>Proj. Year N-Adjusted-Baseline-Other Non-Energy Costs ($)</t>
  </si>
  <si>
    <t>10024m</t>
  </si>
  <si>
    <t>RptProjBaselineOMCost</t>
  </si>
  <si>
    <t>Year N-Adjusted-Baseline-O&amp;M costs for the project ($)</t>
  </si>
  <si>
    <t>Annual Reported baseline-O&amp;M costs ($)  for the project</t>
  </si>
  <si>
    <t>Sum of all 30024m corresponding to each of the ECMs</t>
  </si>
  <si>
    <t xml:space="preserve">Proj. Year N-Adjusted-Baseline-O&amp;M costs </t>
  </si>
  <si>
    <t>mv_om_proj_baseline</t>
  </si>
  <si>
    <t>Proj. Year N-Adjusted-Baseline-O&amp;M Costs ($)</t>
  </si>
  <si>
    <t>10020m</t>
  </si>
  <si>
    <t>RptProjBaselineOther1EnergyMMBtu</t>
  </si>
  <si>
    <t>Year N-Adjusted-Baseline-Other 1 energy usage for the project (MMBtu)</t>
  </si>
  <si>
    <t>Annual Reported baseline -other energy type 1 usage (MMBtu) for the project</t>
  </si>
  <si>
    <t>Sum of all 30020m corresponding to each of the ECMs</t>
  </si>
  <si>
    <t xml:space="preserve">Proj. Year N-Adjusted-Baseline-Other 1 energy usage </t>
  </si>
  <si>
    <t>mv_other_1_proj_baseline</t>
  </si>
  <si>
    <t>Proj. Year N-Adjusted-Baseline-Other 1 Energy Usage (MMBtu)</t>
  </si>
  <si>
    <t>10021mm</t>
  </si>
  <si>
    <t>RptProjBaselineOther2EnergyMMBtu</t>
  </si>
  <si>
    <t>Year N-Adjusted-Baseline-Other 2 energy usage for the project(MMBtu)</t>
  </si>
  <si>
    <t>Annual Reported baseline-other energy type 2 usage (MMBtu) for the project</t>
  </si>
  <si>
    <t>Sum of all 30021m corresponding to each of the ECMs</t>
  </si>
  <si>
    <t>Proj. Year N-Adjusted-Baseline-Other 2 energy usage (MMBtu)</t>
  </si>
  <si>
    <t>mv_other_2_proj_baseline</t>
  </si>
  <si>
    <t>Proj. Year N-Adjusted-Baseline-Other 2 Energy Usage (MMBtu)</t>
  </si>
  <si>
    <t>10018m</t>
  </si>
  <si>
    <t>RptProjBaselineWaterKgal</t>
  </si>
  <si>
    <t>Year N-Adjusted-Baseline-Water usage for the project (kgal)</t>
  </si>
  <si>
    <t>Annual Reported baseline water usage (kGal)  for the project</t>
  </si>
  <si>
    <t>Sum of all 30018m corresponding to each of the ECMs</t>
  </si>
  <si>
    <t xml:space="preserve">Proj. Year N-Adjusted-Baseline-Water usage </t>
  </si>
  <si>
    <t>kgal</t>
  </si>
  <si>
    <t>mv_water_proj_baseline</t>
  </si>
  <si>
    <t>Proj. Year N-Adjusted-Baseline-Water Usage (kGal)</t>
  </si>
  <si>
    <t>RptProjElecDemandSavingsKW</t>
  </si>
  <si>
    <t>Year N-Verified (Expected) annual electricity demand savings for the project (kW/mo)</t>
  </si>
  <si>
    <t>Annual Reported electricity demand reduction for the year (kW/mo) for a project</t>
  </si>
  <si>
    <t>Sum of all 30055 corresponding to each of the ECMs</t>
  </si>
  <si>
    <t xml:space="preserve">Proj. Year N-Verified (Expected) annual electricity demand savings </t>
  </si>
  <si>
    <t>mv_elec_demand_proj_energy_savings</t>
  </si>
  <si>
    <t>Proj. Year N-Verified (Expected) Annual Electricity Demand Savings (kW/mo)</t>
  </si>
  <si>
    <t>RptProjLostCostAmtAgency</t>
  </si>
  <si>
    <t>Project-Level: Year N-Lost cost-savings opportunity attributable to the agency ($)</t>
  </si>
  <si>
    <t>Yearly cost savings lost due to Agency's impact on a project</t>
  </si>
  <si>
    <t>Project - Lost Cost Savings</t>
  </si>
  <si>
    <t>Proj. Year N-Lost cost-savings opportunity attributable to the agency ($)</t>
  </si>
  <si>
    <t>mv_proj_agency_cost</t>
  </si>
  <si>
    <t>RptProjAgencyCost</t>
  </si>
  <si>
    <t>Proj. Year N-Lost Cost-Savings Opportunity Attributable to the Agency ($)</t>
  </si>
  <si>
    <t>RptProjLostCostAmtESCO</t>
  </si>
  <si>
    <t>Project-Level: Year N-Lost cost-savings opportunity attributable to the ESCO or equipment failure ($)</t>
  </si>
  <si>
    <t>Yearly cost savings lost due to ESCO's impact on a project</t>
  </si>
  <si>
    <t>Proj. Year N-Lost cost-savings opportunity attributable to the ESCO or equipment failure ($)</t>
  </si>
  <si>
    <t>mv_proj_esco_cost</t>
  </si>
  <si>
    <t>RptProjESCOCost</t>
  </si>
  <si>
    <t>Proj. Year N-Lost Cost-Savings Opportunity Attributable to the ESCO or Equipment Failure ($)</t>
  </si>
  <si>
    <t>RptProjLostEngyAgency</t>
  </si>
  <si>
    <t>Project-Level: Year N-Lost energy-savings opportunity attributable to the Agency or equipment failure (MMBtu)</t>
  </si>
  <si>
    <t>Yearly energy savings lost due to Agency's impact on a project</t>
  </si>
  <si>
    <t>Proj. Year N-Lost energy-savings opportunity attributable to the Agency or equipment failure (MMBtu)</t>
  </si>
  <si>
    <t>mv_proj_agency_energy</t>
  </si>
  <si>
    <t>RptProjAgencyEnergy</t>
  </si>
  <si>
    <t>Proj. Year N-Lost Energy-Savings Opportunity Attributable to the Agency or Equipment Failure (MMBtu)</t>
  </si>
  <si>
    <t>RptProjLostEngyESCO</t>
  </si>
  <si>
    <t>Project-Level: Year N-Lost energy-savings opportunity attributable to the ESCO or equipment failure (MMBtu)</t>
  </si>
  <si>
    <t>Yearly energy savings lost due to ESCO's impact on a project</t>
  </si>
  <si>
    <t>Proj. Year N-Lost energy-savings opportunity attributable to the ESCO or equipment failure (MMBtu)</t>
  </si>
  <si>
    <t>mv_proj_esco_energy</t>
  </si>
  <si>
    <t>RptProjESCOEnergy</t>
  </si>
  <si>
    <t>Proj. Year N-Lost Energy-Savings Opportunity Attributable to the ESCO or Equipment Failure (MMBtu)</t>
  </si>
  <si>
    <t>RptProjOtherAvoidedCostAmt</t>
  </si>
  <si>
    <t>Year N-Verified (Expected) annual other avoided costs savings for the project ($)</t>
  </si>
  <si>
    <t>Annual Reported dollar equivalent of avoided costs for the year for a project ($).</t>
  </si>
  <si>
    <t>IF N=0, Schedule 4- AC258,
N=1, Schedule 4- AC258,  
N=2, [Schedule 4- AC258* (1+'Annual Escalation Rates'!I6)], 
N=3, [Schedule 4- AC258* (1+'Annual Escalation Rates'!I6)*(1+'Annual Escalation Rates'!I7)],
N=4, [Schedule 4- AC258* (1+'Annual Escalation Rates'!I6)*(1+'Annual Escalation Rates'!I7)*(1+'Annual Escalation Rates'!I8)],
.......</t>
  </si>
  <si>
    <t>Sum of all 30064 corresponding to each of the ECMs</t>
  </si>
  <si>
    <t>Proj. Year N-Verified (Expected) annual other avoided costs savings</t>
  </si>
  <si>
    <t>Other non-energy cost savings - project level</t>
  </si>
  <si>
    <t>mv_other_avoided_proj_cost_savings</t>
  </si>
  <si>
    <t>Proj. Year N-Verified (Expected) Annual Other Avoided Costs Savings ($)</t>
  </si>
  <si>
    <t>10010k</t>
  </si>
  <si>
    <t>RptTotEnergySavings</t>
  </si>
  <si>
    <t>Year N-Total Verified (Expected) energy savings (MMBtu)</t>
  </si>
  <si>
    <t>Total Annual Verified (Expected) energy savings (MMBtu) for the project</t>
  </si>
  <si>
    <t>(0.003412*RptProjElecSavingsKWh)+RptProjNGSavingsMMBtu+RptProjOther1EnergySavingsMMBtu+RptProjOther2EnergySavingsMMBtu</t>
  </si>
  <si>
    <t>(0.00341*RptProjElecSavingsKWh)+RptProjLostEngyESCO+RptProjNGSavingsMMBtu+RptProjOther1EnergySavings</t>
  </si>
  <si>
    <t>Proj. Year N-Total Verified (Expected) energy savings</t>
  </si>
  <si>
    <t>mv_year_total_energy_savings</t>
  </si>
  <si>
    <t>energy_savings</t>
  </si>
  <si>
    <t>RptProjTotEnergySavings</t>
  </si>
  <si>
    <t>Proj. Year N-Total Verified (Expected) Energy Savings (MMBtu)</t>
  </si>
  <si>
    <t>10010r</t>
  </si>
  <si>
    <t>RptTotRsrcCostSavingsAmt</t>
  </si>
  <si>
    <t>Year N- Verified (Expected) annual energy and resource cost savings (Accreditation requirement)</t>
  </si>
  <si>
    <t>Annual Reported dollar equivalent of energy and water related cost savings.</t>
  </si>
  <si>
    <t>RptProjLostCostAmtESCO+RptProjLostEngyESCO+RptProjNGSavingsMMBtu+RptProjOther1EnergySavingsMMBtu+RptProjOtherAvoidedCostAmt+RptProjWaterSavingsAmt</t>
  </si>
  <si>
    <t>Acreditation requirement; need to check Calculation for M&amp;V - doesn't seem correct</t>
  </si>
  <si>
    <t xml:space="preserve">Proj. Year N- Verified (Expected) annual energy and resource cost savings </t>
  </si>
  <si>
    <t>mv_year_total_energy_cost_savings</t>
  </si>
  <si>
    <t>energy_cost_savings</t>
  </si>
  <si>
    <t>RptProjTotRsrcCostSavings</t>
  </si>
  <si>
    <t>Proj. Year N- Verified (Expected) Annual Energy and Resource Cost Savings ($)</t>
  </si>
  <si>
    <t>10007a</t>
  </si>
  <si>
    <t>ThrdPartyVrfy</t>
  </si>
  <si>
    <t>Third Party Verified (y/n)</t>
  </si>
  <si>
    <t>Indicate if the M&amp;V report is verified by a third party</t>
  </si>
  <si>
    <t>Boolean</t>
  </si>
  <si>
    <t>Third Party Verification Flag</t>
  </si>
  <si>
    <t>mv_year_third_party_verified</t>
  </si>
  <si>
    <t>third_party_verified</t>
  </si>
  <si>
    <t>Template type</t>
  </si>
  <si>
    <t>Type of ePB template used to enter project</t>
  </si>
  <si>
    <t>Type of template uploaded</t>
  </si>
  <si>
    <t>Portfolio, Dashboard</t>
  </si>
  <si>
    <t>Template Type</t>
  </si>
  <si>
    <t>template_type</t>
  </si>
  <si>
    <t>calculation_type_id</t>
  </si>
  <si>
    <t>template-type</t>
  </si>
  <si>
    <t>project_calculation_type</t>
  </si>
  <si>
    <t>State and local sub-market segment</t>
  </si>
  <si>
    <t>State and local sub-market segments</t>
  </si>
  <si>
    <t>List(State agency, Municipality (village, town, city), County or parish, Special district (water or wastewater), State/local correctional facility, Local/county community college</t>
  </si>
  <si>
    <t>N/A - this is picked up in project initiation</t>
  </si>
  <si>
    <t>State/Local sub-market</t>
  </si>
  <si>
    <t>state_local_submarket</t>
  </si>
  <si>
    <t>project.project_other</t>
  </si>
  <si>
    <t>state-local-sub-market</t>
  </si>
  <si>
    <t>state_local_submarkets</t>
  </si>
  <si>
    <t>State/local Sub-market</t>
  </si>
  <si>
    <t>ProjStatus</t>
  </si>
  <si>
    <t>Project Status</t>
  </si>
  <si>
    <t>Indication of project status (Pending, Pre-Approval, Approved).</t>
  </si>
  <si>
    <t>List(Pending, Pre-approval, Approved)</t>
  </si>
  <si>
    <t>project_status</t>
  </si>
  <si>
    <t>status_id</t>
  </si>
  <si>
    <t>Created source field (whether the project was created in the Accreditation, Qualified List, or Default section)</t>
  </si>
  <si>
    <t>List(Accreditation, Qualified List, Default)</t>
  </si>
  <si>
    <t>N/A - this value is added when a user creates a new project</t>
  </si>
  <si>
    <t>No</t>
  </si>
  <si>
    <t>Project's created source</t>
  </si>
  <si>
    <t>created_source</t>
  </si>
  <si>
    <t>Project Source</t>
  </si>
  <si>
    <t>Indicates whether project was initiated via the NAESCO Accreditation or DOE Qualified List application feature</t>
  </si>
  <si>
    <t>No - only for data dump</t>
  </si>
  <si>
    <t>Could be a flag: "NA" for NAESCO accreditation and "QL" for Qualified List</t>
  </si>
  <si>
    <t>Indicates whether project was initiated via the NAESCO Accreditation or DOE Qualified List application process</t>
  </si>
  <si>
    <t>project_created_source</t>
  </si>
  <si>
    <t>project-created-source</t>
  </si>
  <si>
    <t>ContractTermRemaining</t>
  </si>
  <si>
    <t>Contract Term Remaining (years)</t>
  </si>
  <si>
    <t>Calculated field based on present date and estimated end of task order date.</t>
  </si>
  <si>
    <t>We aren't using this that I know of - but do we actually have this database field? It could be helpful for reporting feature - or we can delete it from this list if not using</t>
  </si>
  <si>
    <t>Contract Term Remaining</t>
  </si>
  <si>
    <t>Years</t>
  </si>
  <si>
    <t>Don't need</t>
  </si>
  <si>
    <t>Country</t>
  </si>
  <si>
    <t>Country where project is located.</t>
  </si>
  <si>
    <t>Country where project is located</t>
  </si>
  <si>
    <t>project_location_country</t>
  </si>
  <si>
    <t>country</t>
  </si>
  <si>
    <t>10092A</t>
  </si>
  <si>
    <t>ProjMarginPct</t>
  </si>
  <si>
    <t xml:space="preserve">Project Implementation Markup (%) </t>
  </si>
  <si>
    <t>Margin represents overall project implementation margin including indirect costs and ESCO profit (%).</t>
  </si>
  <si>
    <t>No longer in template, but older projects still have this data field so we still need it</t>
  </si>
  <si>
    <t>Project Implementation Markup (%)</t>
  </si>
  <si>
    <t>Margin represents overall project implementation margin including indirect costs and ESCO profit (%)</t>
  </si>
  <si>
    <t>Reference customer - email</t>
  </si>
  <si>
    <t>Reference customer for the project - email</t>
  </si>
  <si>
    <t>Accred UI page</t>
  </si>
  <si>
    <t>New NAESCO project-level field</t>
  </si>
  <si>
    <t>Reference Customer Email</t>
  </si>
  <si>
    <t>ref_cust_contact_email</t>
  </si>
  <si>
    <t>contacts</t>
  </si>
  <si>
    <t>Reference customer - name</t>
  </si>
  <si>
    <t>Reference customer for the project - name</t>
  </si>
  <si>
    <t>Reference Customer Name</t>
  </si>
  <si>
    <t>ref_cust_contact_name</t>
  </si>
  <si>
    <t>Reference customer for the project - instituition</t>
  </si>
  <si>
    <t>Reference Customer Institution</t>
  </si>
  <si>
    <t>Reference customer for the project - institution</t>
  </si>
  <si>
    <t>ref_cust_contact_institution</t>
  </si>
  <si>
    <t>Reference customer for the project - phone number</t>
  </si>
  <si>
    <t>Reference Customer Phone</t>
  </si>
  <si>
    <t>ref_cust_contact_phone</t>
  </si>
  <si>
    <t>Reference customer for the project - title</t>
  </si>
  <si>
    <t>Reference Customer Title</t>
  </si>
  <si>
    <t>ref_cust_contact_title</t>
  </si>
  <si>
    <t>Contract Term (years)</t>
  </si>
  <si>
    <t>Total length of contract term, which includes the implementation period and the performance period</t>
  </si>
  <si>
    <t>N/A - Not on Template</t>
  </si>
  <si>
    <t>N.A</t>
  </si>
  <si>
    <t>Do we need a field for this - or is it only a template validation? It seems we might want one - if we also have Contract Term Remaining</t>
  </si>
  <si>
    <t>Contract Term</t>
  </si>
  <si>
    <t>For now don't need. It can always be derived if needed.</t>
  </si>
  <si>
    <t>NEW</t>
  </si>
  <si>
    <t>Reason for not using calculating template</t>
  </si>
  <si>
    <t>N/A - does not appear in UI</t>
  </si>
  <si>
    <t>N/A - Not on Template or in UI</t>
  </si>
  <si>
    <t>At template upload - dialog box asks why user is not using the calculating template</t>
  </si>
  <si>
    <t>N</t>
  </si>
  <si>
    <t>N/A - will not be in reporting feature</t>
  </si>
  <si>
    <t>non_calc_submit_reason</t>
  </si>
  <si>
    <t>template_upload_history</t>
  </si>
  <si>
    <t>non_calc_reason</t>
  </si>
  <si>
    <t>Will not display in UI or M&amp;V module - will only be included in the data dump file</t>
  </si>
  <si>
    <t>ACommodType</t>
  </si>
  <si>
    <t>Commodity procurement type</t>
  </si>
  <si>
    <t>List(Electricity Supply, Natural Gas Supply, Price risk Management Services, Negotiation w/Regulated Utility, Other</t>
  </si>
  <si>
    <t>commodity_procure_type</t>
  </si>
  <si>
    <t>commodity_type_id</t>
  </si>
  <si>
    <t>ADSMType</t>
  </si>
  <si>
    <t>DSM Program Type</t>
  </si>
  <si>
    <t>Type of DSM incentive</t>
  </si>
  <si>
    <t>List(Rebate, Loan, DSM bidding, Standard Offer, Audit, Design/Tech Assistance, Other)</t>
  </si>
  <si>
    <t>dsm_type</t>
  </si>
  <si>
    <t>dsm_type_id</t>
  </si>
  <si>
    <t>dsm-type</t>
  </si>
  <si>
    <t>AFacilityType</t>
  </si>
  <si>
    <t>Facility Type</t>
  </si>
  <si>
    <t>Primary facility type (choose from list).</t>
  </si>
  <si>
    <t>List(Office, Education, Healthcare, Lodging, Mercantile-Retail, Warehouse, Food Sales-Grocery, Food Service, Public Order, Public Assembly, Residential-Multifamily, Wastewater Treatment Plant, Other</t>
  </si>
  <si>
    <t>facility_type</t>
  </si>
  <si>
    <t>facility_type_id</t>
  </si>
  <si>
    <t>facility-type</t>
  </si>
  <si>
    <t>AGenType</t>
  </si>
  <si>
    <t>Generation equipment type</t>
  </si>
  <si>
    <t>List(Reciprocating Engine, Combusion Turbine, Microturbine, Steam Turbine, Photovoltaic, Wind, Storage, Other)</t>
  </si>
  <si>
    <t>generate_equipment_type</t>
  </si>
  <si>
    <t>generation_equipment_type_id</t>
  </si>
  <si>
    <t>gen-equip</t>
  </si>
  <si>
    <t>generation_equipment_type</t>
  </si>
  <si>
    <t>AGuarAnnDemandSav</t>
  </si>
  <si>
    <t>Guaranteed annual electric demand savings</t>
  </si>
  <si>
    <t>Guaranteed annual savings: Electricity demand (kW)</t>
  </si>
  <si>
    <t>guar_ann_elec_demand_saving</t>
  </si>
  <si>
    <t>guaranteed_annual_energy_savings</t>
  </si>
  <si>
    <t>Guaranteed Annual Electric Demand Savings (kW)</t>
  </si>
  <si>
    <t>AGuarAnnElecSav</t>
  </si>
  <si>
    <t>Guaranteed annual electricity savings</t>
  </si>
  <si>
    <t>Guaranteed annual savings: Electricity use (kWh)</t>
  </si>
  <si>
    <t>guar_ann_elec_use_saving</t>
  </si>
  <si>
    <t>Guaranteed Annual Electricity Savings (kWh)</t>
  </si>
  <si>
    <t>AGuarEnergyCostSav</t>
  </si>
  <si>
    <t>Guaranteed annual energy/resource cost savings</t>
  </si>
  <si>
    <t>Dollar value of guaranteed annual energy and resource savings</t>
  </si>
  <si>
    <t>guar_energy_cost_saving</t>
  </si>
  <si>
    <t>guaranteed_cost_savings</t>
  </si>
  <si>
    <t>annual_energy_savings</t>
  </si>
  <si>
    <t>Guaranteed Annual Energy/Resource Cost Savings ($)</t>
  </si>
  <si>
    <t>AGuarAnnGasSav</t>
  </si>
  <si>
    <t>Guaranteed annual natural gas savings</t>
  </si>
  <si>
    <t>Guaranteed annual savings: Natural Gas (MMBtu)</t>
  </si>
  <si>
    <t>guar_ann_ng_saving</t>
  </si>
  <si>
    <t>Guaranteed Annual Natural Gas Savings (MMBtu)</t>
  </si>
  <si>
    <t>AGuarNonenergyCostSav</t>
  </si>
  <si>
    <t>Guaranteed annual non-energy cost savings</t>
  </si>
  <si>
    <t>Dollar value of guaranteed annual O&amp;M/ non-energy savings</t>
  </si>
  <si>
    <t>guar_non_energy_cost_saving</t>
  </si>
  <si>
    <t>annual_non_energy_savings</t>
  </si>
  <si>
    <t>Guaranteed Annual Non-Energy Cost Savings ($)</t>
  </si>
  <si>
    <t>Guaranteed Annual O&amp;M Savings ($)</t>
  </si>
  <si>
    <t>Dollar value of guaranteed annual O&amp;M savings</t>
  </si>
  <si>
    <t>Yes - optional, in Accreditation</t>
  </si>
  <si>
    <t>Additional Data tab of Accreditation</t>
  </si>
  <si>
    <t>annual_om_savings</t>
  </si>
  <si>
    <t>AGuarAnnOther1Sav</t>
  </si>
  <si>
    <t>Guaranteed annual other 1 fuel savings  Onscreen call it "Other Savings Type 1"</t>
  </si>
  <si>
    <t>Guaranteed annual savings: Other fuel (MMBtu)</t>
  </si>
  <si>
    <t xml:space="preserve">Guaranteed annual other 1 fuel savings  </t>
  </si>
  <si>
    <t>guar_ann_other_1_saving</t>
  </si>
  <si>
    <t>Guaranteed Annual Other 1 Fuel Savings  (MMBtu)</t>
  </si>
  <si>
    <t>AGuarAnnOther2Sav</t>
  </si>
  <si>
    <t>Guaranteed annual other 2 fuel savings  Onscreen call it "Other Savings Type 2"</t>
  </si>
  <si>
    <t xml:space="preserve">Guaranteed annual other 2 fuel savings </t>
  </si>
  <si>
    <t>guar_ann_other_2_saving</t>
  </si>
  <si>
    <t>Guaranteed Annual Other 2 Fuel Savings (MMBtu)</t>
  </si>
  <si>
    <t>AGuarAnnWaterSav</t>
  </si>
  <si>
    <t>Guaranteed annual water savings</t>
  </si>
  <si>
    <t>Guaranteed annual savings: Water use (kgal)</t>
  </si>
  <si>
    <t>guar_ann_water_saving</t>
  </si>
  <si>
    <t>Guaranteed Annual Water Savings (kGal)</t>
  </si>
  <si>
    <t>Guaranteed Total Contract O&amp;M Savings for the total contract term ($)</t>
  </si>
  <si>
    <t>Total dollar value of guaranteed O&amp;M savings for life of contract</t>
  </si>
  <si>
    <t>Guaranteed Total Contract O&amp;M Savings ($)</t>
  </si>
  <si>
    <t>contract_om_savings</t>
  </si>
  <si>
    <t>40017b</t>
  </si>
  <si>
    <t>ALeadEngEmail</t>
  </si>
  <si>
    <t>Lead engineer email</t>
  </si>
  <si>
    <t>Applicant lead engineer on the project - email</t>
  </si>
  <si>
    <t>engineer_contact_email</t>
  </si>
  <si>
    <t>40017a</t>
  </si>
  <si>
    <t>ALeadEngName</t>
  </si>
  <si>
    <t>Lead engineer name</t>
  </si>
  <si>
    <t>Applicant lead engineer on the project - name</t>
  </si>
  <si>
    <t>engineer_contact_name</t>
  </si>
  <si>
    <t>40017c</t>
  </si>
  <si>
    <t>ALeadEngPhone</t>
  </si>
  <si>
    <t>Lead engineer phone number</t>
  </si>
  <si>
    <t>Applicant lead engineer on the project - phone number</t>
  </si>
  <si>
    <t>engineer_contact_phone</t>
  </si>
  <si>
    <t>40018b</t>
  </si>
  <si>
    <t>ALeadProjMgrEmail</t>
  </si>
  <si>
    <t>Lead project manager email</t>
  </si>
  <si>
    <t>Applicant's lead project manager on the project - email</t>
  </si>
  <si>
    <t>pm_contact_email</t>
  </si>
  <si>
    <t>40018a</t>
  </si>
  <si>
    <t>ALeadProjMgrName</t>
  </si>
  <si>
    <t>Lead project manager name</t>
  </si>
  <si>
    <t>Applicant's lead project manager on the project - name</t>
  </si>
  <si>
    <t>pm_contact_name</t>
  </si>
  <si>
    <t>40018c</t>
  </si>
  <si>
    <t>ALeadProjMgrPhone</t>
  </si>
  <si>
    <t>Lead project manager phone number</t>
  </si>
  <si>
    <t>Applicant's lead project manager on the project - phone number</t>
  </si>
  <si>
    <t>pm_contact_phone</t>
  </si>
  <si>
    <t>AIncentType</t>
  </si>
  <si>
    <t>Other incentive type</t>
  </si>
  <si>
    <t>Type of other incentive (e.g., tax credit)</t>
  </si>
  <si>
    <t>Incentive type</t>
  </si>
  <si>
    <t>other_incentive_type</t>
  </si>
  <si>
    <t>other_incent_type</t>
  </si>
  <si>
    <t>Incentive Type</t>
  </si>
  <si>
    <t>AProjRef</t>
  </si>
  <si>
    <t>Project Reference</t>
  </si>
  <si>
    <t>Indication of whether the project is being submitted as a reference projects</t>
  </si>
  <si>
    <t>Boolean (y/n)</t>
  </si>
  <si>
    <t>Project Reference flag</t>
  </si>
  <si>
    <t>is_reference_project</t>
  </si>
  <si>
    <t>reference_project</t>
  </si>
  <si>
    <t>APositiveEnergy</t>
  </si>
  <si>
    <t>Resource savings exceed non-energy?</t>
  </si>
  <si>
    <t>Indicates whether dollar value of total contract guaranteed energy/resource savings exceed dollar value of non-energy savings (y/n)</t>
  </si>
  <si>
    <t>Text: boolean (y/n)</t>
  </si>
  <si>
    <t>Resource savings exceed non-energy flag</t>
  </si>
  <si>
    <t>positive_energy</t>
  </si>
  <si>
    <t>ATotEstNonenergyCostSav</t>
  </si>
  <si>
    <t>Total contract estimated non-energy savings</t>
  </si>
  <si>
    <t>Total dollar value of estimated non-energy savings for life of contract</t>
  </si>
  <si>
    <t>Derived - calculated by multiplying total non-energy savings at bottom of schedule 4 by number of contract years</t>
  </si>
  <si>
    <t>Calculated when the NAESCO accreditation committee generates a report. The calculation: multiply "TotEstAvoidedNonenergyCostAmt" by the value in "ContractTerm"</t>
  </si>
  <si>
    <t>Estim Total Contract non-energy savings</t>
  </si>
  <si>
    <t>total_contract_est_non_energy_savings</t>
  </si>
  <si>
    <t>Estimated Total Contract Non-Energy Savings ($)</t>
  </si>
  <si>
    <t>ATotEstOMCostSav</t>
  </si>
  <si>
    <t>Total contract estimated O&amp;M cost savings</t>
  </si>
  <si>
    <t>Total dollar value of estimated O&amp;M savings for life of contract</t>
  </si>
  <si>
    <t>Derived - calculated by multiplying O&amp;M savings at bottom of schedule 4 by number of contract years</t>
  </si>
  <si>
    <t xml:space="preserve"> It will be calculated when the NAESCO accreditation committee generates a report. The calculation: multiply "TotEstAvoidedOMCostAmt" by the value in "ContractTerm"</t>
  </si>
  <si>
    <t>Estim Total Contract O&amp;M cost savings</t>
  </si>
  <si>
    <t>total_contract_est_om_cost_savings</t>
  </si>
  <si>
    <t>Estimated Total Contract O&amp;M Cost Savings ($)</t>
  </si>
  <si>
    <t>ATotGuarNonenergyCostSav</t>
  </si>
  <si>
    <t>Total contract guaranteed non-energy savings</t>
  </si>
  <si>
    <t>Total dollar value of guaranteed O&amp;M and other non-energy savings for life of contract</t>
  </si>
  <si>
    <t>contract_non_energy_savings</t>
  </si>
  <si>
    <t>Total Contract Guaranteed Non-Energy Savings ($)</t>
  </si>
  <si>
    <t>ATotGuarEnergyCostSav</t>
  </si>
  <si>
    <t>Total contract guaranteed resource cost savings</t>
  </si>
  <si>
    <t>Total dollar value of guaranteed energy and resource savings (e.g. water) for life of contract</t>
  </si>
  <si>
    <t>contract_energy_savings</t>
  </si>
  <si>
    <t>Total Contract Guaranteed Resource Cost Savings ($)</t>
  </si>
  <si>
    <t>ARefProjType</t>
  </si>
  <si>
    <t>Type of reference project</t>
  </si>
  <si>
    <t>Type of reference project (ESCO or ESP)</t>
  </si>
  <si>
    <t>Text: binary dropdown (ESCO or ESP)</t>
  </si>
  <si>
    <t>reference_project_type</t>
  </si>
  <si>
    <t>TotAwardedContractValue</t>
  </si>
  <si>
    <t>Total Awarded Contract Value</t>
  </si>
  <si>
    <t>Calculated field: Total Project Implementation Costs + Total Financing Costs for all sources ($).</t>
  </si>
  <si>
    <t>Not using</t>
  </si>
  <si>
    <t>Shankar - question for you. Users have asked for this field but currently don't have it in the template. I believe this is total implementat costs before up-front incentives, right Shankar?  States have a different term for this - they call it "Total cost" or "Total project cost." Something to keep in mind when we do a more complete harmonization for states.</t>
  </si>
  <si>
    <t>Total Contract Value</t>
  </si>
  <si>
    <t>Calculated field: Total Project Implementation Costs + Total Financing Costs for all sources ($)</t>
  </si>
  <si>
    <t>Total Contract Value ($)</t>
  </si>
  <si>
    <t>10057a</t>
  </si>
  <si>
    <t>ICDa</t>
  </si>
  <si>
    <t>Subcontractor Costs to Primary Contractor exclusive of M&amp;V equipment</t>
  </si>
  <si>
    <t>Subcontractor costs (subcontractor costs to primary project contractor) exclusive of M&amp;V equipment</t>
  </si>
  <si>
    <t>Schedule 2b</t>
  </si>
  <si>
    <t xml:space="preserve">Subcontractor Costs </t>
  </si>
  <si>
    <t>base_cost_subcontractor</t>
  </si>
  <si>
    <t>costs_goods_services</t>
  </si>
  <si>
    <t>subcontractor</t>
  </si>
  <si>
    <t>Subcontractor Costs ($)</t>
  </si>
  <si>
    <t>10057b</t>
  </si>
  <si>
    <t>ICDb</t>
  </si>
  <si>
    <t>M&amp;V Equipment Installed During Construction</t>
  </si>
  <si>
    <t>M&amp;V costs for equipment installed during construction</t>
  </si>
  <si>
    <t>F5</t>
  </si>
  <si>
    <t>M&amp;V Equipment costs</t>
  </si>
  <si>
    <t>base_cost_mv_equipment</t>
  </si>
  <si>
    <t>mv_equipment</t>
  </si>
  <si>
    <t>M&amp;V Equipment Costs ($)</t>
  </si>
  <si>
    <t>10057c</t>
  </si>
  <si>
    <t>ICDc</t>
  </si>
  <si>
    <t>Self-Performed Work</t>
  </si>
  <si>
    <t>Cost of contractor's self-performed work</t>
  </si>
  <si>
    <t>F6</t>
  </si>
  <si>
    <t>Costs of ESCO performed work</t>
  </si>
  <si>
    <t>base_cost_self_performed_work</t>
  </si>
  <si>
    <t>self_performed_work</t>
  </si>
  <si>
    <t>Costs of Contractor Performed Work ($)</t>
  </si>
  <si>
    <t>10057d</t>
  </si>
  <si>
    <t>ICDd</t>
  </si>
  <si>
    <t>Other Direct Purchases</t>
  </si>
  <si>
    <t>Other costs related to direct purchases of equipment, material, supplies (supplier costs to primary project contractor) exclusive of M&amp;V equipment</t>
  </si>
  <si>
    <t>Direct Purchase Costs</t>
  </si>
  <si>
    <t>base_cost_other_purchase</t>
  </si>
  <si>
    <t>other_purchases</t>
  </si>
  <si>
    <t>Direct Purchase Costs ($)</t>
  </si>
  <si>
    <t>10092A1</t>
  </si>
  <si>
    <t>IdpD</t>
  </si>
  <si>
    <t>Design</t>
  </si>
  <si>
    <t>Project design costs as a percentage of total costs of goods and services</t>
  </si>
  <si>
    <t>For this field, the user fills in a percentage - and the dollar cost is calculated. I added a line for the calculated value - not sure if we need it.</t>
  </si>
  <si>
    <t>Design Costs as a % of COGS</t>
  </si>
  <si>
    <t>impl_cost_design_pct</t>
  </si>
  <si>
    <t>implementation_percentage</t>
  </si>
  <si>
    <t>design</t>
  </si>
  <si>
    <t>10092A2</t>
  </si>
  <si>
    <t>IdpPM</t>
  </si>
  <si>
    <t>Project Management</t>
  </si>
  <si>
    <t>The cost of administering and managing the project as a percentage of total costs of goods and services</t>
  </si>
  <si>
    <t>Project Management Costs as a % of COGS</t>
  </si>
  <si>
    <t>impl_cost_project_manage_pct</t>
  </si>
  <si>
    <t>project_management</t>
  </si>
  <si>
    <t>10092A3</t>
  </si>
  <si>
    <t>IdpPB</t>
  </si>
  <si>
    <t>Performance and Payment Bonds</t>
  </si>
  <si>
    <t>Performance and payment bonds for the project as a percentage of total costs of goods and services</t>
  </si>
  <si>
    <t>Performance and Payment Bonds Costs as a % of COGS</t>
  </si>
  <si>
    <t>impl_cost_perform_bond_pct</t>
  </si>
  <si>
    <t>performance_bonds</t>
  </si>
  <si>
    <t>10092A4</t>
  </si>
  <si>
    <t>IdpCT</t>
  </si>
  <si>
    <t>Commissioning and Training</t>
  </si>
  <si>
    <t>Project commissioning and training costs as a percentage of total costs of goods and services</t>
  </si>
  <si>
    <t>E12</t>
  </si>
  <si>
    <t>Commissioning and Training Costs as a % of COGS</t>
  </si>
  <si>
    <t>impl_cost_training_pct</t>
  </si>
  <si>
    <t>commissioning_training</t>
  </si>
  <si>
    <t>10092A6</t>
  </si>
  <si>
    <t>IdpO</t>
  </si>
  <si>
    <t>Overhead Percent</t>
  </si>
  <si>
    <t>Project overhead or indirect costs as a percentage of total costs of goods and services</t>
  </si>
  <si>
    <t>E14</t>
  </si>
  <si>
    <t>Overhead Costs as a % of COGS</t>
  </si>
  <si>
    <t>impl_cost_overhead_pct</t>
  </si>
  <si>
    <t>overhead</t>
  </si>
  <si>
    <t>10092A7</t>
  </si>
  <si>
    <t>IdpP</t>
  </si>
  <si>
    <t>Profit Percent</t>
  </si>
  <si>
    <t>Gross profit associated with the project as a percentage of total costs of goods and services</t>
  </si>
  <si>
    <t>E15</t>
  </si>
  <si>
    <t>Profit as a % of COGS</t>
  </si>
  <si>
    <t>impl_cost_profit_pct</t>
  </si>
  <si>
    <t>profit</t>
  </si>
  <si>
    <t>10092A21</t>
  </si>
  <si>
    <t>IdpPMd</t>
  </si>
  <si>
    <t>Project Management Costs</t>
  </si>
  <si>
    <t xml:space="preserve">The cost of administering and managing the project </t>
  </si>
  <si>
    <t>This field is a calculated amount based on percentage entered for corresponding field</t>
  </si>
  <si>
    <t>impl_cost_project_manage</t>
  </si>
  <si>
    <t>implementation_pricing</t>
  </si>
  <si>
    <t>project_management_cost</t>
  </si>
  <si>
    <t>Project Management Costs ($)</t>
  </si>
  <si>
    <t>10092A31</t>
  </si>
  <si>
    <t>IdpPBd</t>
  </si>
  <si>
    <t>Performance and Payment Bonds Costs</t>
  </si>
  <si>
    <t xml:space="preserve">Performance and payment bonds for the project </t>
  </si>
  <si>
    <t>impl_cost_perform_bond</t>
  </si>
  <si>
    <t>performance_cost</t>
  </si>
  <si>
    <t>Performance and Payment Bonds Costs ($)</t>
  </si>
  <si>
    <t>10092A41</t>
  </si>
  <si>
    <t>IdpCTd</t>
  </si>
  <si>
    <t>Commissioning and Training Costs</t>
  </si>
  <si>
    <t xml:space="preserve">Project commissioning and training costs </t>
  </si>
  <si>
    <t>F12</t>
  </si>
  <si>
    <t>impl_cost_training</t>
  </si>
  <si>
    <t>commissioning_cost</t>
  </si>
  <si>
    <t>Commissioning and Training Costs ($)</t>
  </si>
  <si>
    <t>10092A61</t>
  </si>
  <si>
    <t>IdpOd</t>
  </si>
  <si>
    <t>Overhead Costs</t>
  </si>
  <si>
    <t>Project overhead or indirect costs</t>
  </si>
  <si>
    <t>F14</t>
  </si>
  <si>
    <t>impl_cost_overhead</t>
  </si>
  <si>
    <t>overhead_cost</t>
  </si>
  <si>
    <t>Overhead Costs ($)</t>
  </si>
  <si>
    <t>10092A71</t>
  </si>
  <si>
    <t>IdpPd</t>
  </si>
  <si>
    <t xml:space="preserve">Profit </t>
  </si>
  <si>
    <t xml:space="preserve">Gross profit associated with the project </t>
  </si>
  <si>
    <t>F15</t>
  </si>
  <si>
    <t>impl_cost_profit</t>
  </si>
  <si>
    <t>Profit ($)</t>
  </si>
  <si>
    <t>10092A11</t>
  </si>
  <si>
    <t>IdpDd</t>
  </si>
  <si>
    <t>Design Costs</t>
  </si>
  <si>
    <t>Project design costs</t>
  </si>
  <si>
    <t>impl_cost_design</t>
  </si>
  <si>
    <t>design_cost</t>
  </si>
  <si>
    <t>Design Costs ($)</t>
  </si>
  <si>
    <t>Total of Project Payments (project cost with financing)</t>
  </si>
  <si>
    <t xml:space="preserve">Total payments ($) that includes , total implementation costs, financing costs and performance period costs over the term of the contract. </t>
  </si>
  <si>
    <t>D37</t>
  </si>
  <si>
    <t>I added "Total of Payments" in description. Shankar - will that always be the case?  Also - Summary Schedule G37</t>
  </si>
  <si>
    <t>Total Project Cost (incl. financing)</t>
  </si>
  <si>
    <t>Total turnkey project cost, plus financing costs over the term of the contract ($)</t>
  </si>
  <si>
    <t>Total Project Cost (incl. financing) ($)</t>
  </si>
  <si>
    <t>Total Contract Payments ($)</t>
  </si>
  <si>
    <t>Total Project Cost (incl. financing)/Total Contract Payments ($)</t>
  </si>
  <si>
    <t>11001b</t>
  </si>
  <si>
    <t>CNotesSch1</t>
  </si>
  <si>
    <t>Custom Notes- Schedule 1</t>
  </si>
  <si>
    <t>A47</t>
  </si>
  <si>
    <t>Notes- Schedule 1</t>
  </si>
  <si>
    <t>sch1_template_notes</t>
  </si>
  <si>
    <t>10181A</t>
  </si>
  <si>
    <t>EstImplPeriodSavings</t>
  </si>
  <si>
    <t>Estimated cost savings for implementation period ($)</t>
  </si>
  <si>
    <t>Estimated cost savings during implementation period ($).</t>
  </si>
  <si>
    <t>B6</t>
  </si>
  <si>
    <t>Estim. cost savings for implementation period</t>
  </si>
  <si>
    <t>Estimated cost savings during implementation period ($)</t>
  </si>
  <si>
    <t>impl_est_cost_savings</t>
  </si>
  <si>
    <t>cost_savings_impl_period</t>
  </si>
  <si>
    <t>est_cost_save</t>
  </si>
  <si>
    <t>Estimated Cost Savings for Implementation Period ($)</t>
  </si>
  <si>
    <t>10181B</t>
  </si>
  <si>
    <t>GuarImplPeriodSavings</t>
  </si>
  <si>
    <t>Guaranteed cost savings for implementation period ($)</t>
  </si>
  <si>
    <t>Guaranteed cost savings during implementation period ($).</t>
  </si>
  <si>
    <t>C6</t>
  </si>
  <si>
    <t>Guaranteed cost savings for implementation period</t>
  </si>
  <si>
    <t>Guaranteed cost savings during implementation period ($)</t>
  </si>
  <si>
    <t>impl_guar_cost_savings</t>
  </si>
  <si>
    <t>guar_cost_save</t>
  </si>
  <si>
    <t>Guaranteed Cost Savings for Implementation Period ($)</t>
  </si>
  <si>
    <t>ImplPeriodPayments</t>
  </si>
  <si>
    <t>Implementation Period Payments ($)</t>
  </si>
  <si>
    <t>Payments made by the agency during the implementation period toward the implementation price, thus reducing the amount to be financed ($).</t>
  </si>
  <si>
    <t>D6</t>
  </si>
  <si>
    <t>Implementation Period Payments</t>
  </si>
  <si>
    <t>Payments made by the agency during the implementation period toward the implementation price, thus reducing the amount to be financed ($)</t>
  </si>
  <si>
    <t>impl_payments</t>
  </si>
  <si>
    <t>payment</t>
  </si>
  <si>
    <t>TotPPOAnnRetainedSavings</t>
  </si>
  <si>
    <t>Total Performance Period  Dollar Savings Retained  ($)</t>
  </si>
  <si>
    <t>E34</t>
  </si>
  <si>
    <t xml:space="preserve">Dollar Savings Retained for the entire Performance Period </t>
  </si>
  <si>
    <t>total_pp_retained_savings</t>
  </si>
  <si>
    <t>total_perf_retained_savings</t>
  </si>
  <si>
    <t>Total Dollar Savings Retained ($)</t>
  </si>
  <si>
    <t>12005a</t>
  </si>
  <si>
    <t>TotPPOAnnContPayments</t>
  </si>
  <si>
    <t>Total Performance Period Payments ($)</t>
  </si>
  <si>
    <t>Calculated field: Schedule-1'!D34</t>
  </si>
  <si>
    <t>D34</t>
  </si>
  <si>
    <t>total_pp_payments</t>
  </si>
  <si>
    <t>total_perf_annual_payments</t>
  </si>
  <si>
    <t>10092do</t>
  </si>
  <si>
    <t>ProjMarkupPct</t>
  </si>
  <si>
    <t>Schedule-2-old</t>
  </si>
  <si>
    <t>H8</t>
  </si>
  <si>
    <t>N/A - not in UI - but will still need to be in database</t>
  </si>
  <si>
    <t>proj_impl_markup_pct</t>
  </si>
  <si>
    <t>project_level_ecm</t>
  </si>
  <si>
    <t>10092d</t>
  </si>
  <si>
    <t>ValProjMarkupPct</t>
  </si>
  <si>
    <t xml:space="preserve">Project Implementation Markup ($) </t>
  </si>
  <si>
    <t xml:space="preserve">Margin represents overall project implementation margin including indirect costs and ESCO profit </t>
  </si>
  <si>
    <t>H259</t>
  </si>
  <si>
    <t>Project Implementation Markup ($)</t>
  </si>
  <si>
    <t>proj_impl_markup_value</t>
  </si>
  <si>
    <t>proj_impl_markup_amt</t>
  </si>
  <si>
    <t>10050AA</t>
  </si>
  <si>
    <t>TotProjDevCost</t>
  </si>
  <si>
    <t>Project Development cost (Including Markup)</t>
  </si>
  <si>
    <t>Costs of developing the project not attributable to an ECM - for example, preliminary assessment, IGA, and other costs involved in developing the proposal that includes Markup (from 1.97 templates)</t>
  </si>
  <si>
    <t>J8</t>
  </si>
  <si>
    <t>Project Development Costs W/Markup</t>
  </si>
  <si>
    <t>Costs of developing the project not attributable to an ECM - for example, preliminary assessment, IGA, and other costs involved in developing the proposal that includes markup, from old templates</t>
  </si>
  <si>
    <t>proj_dev_cost_markup</t>
  </si>
  <si>
    <t>Project Development Costs w/ Markup ($)</t>
  </si>
  <si>
    <t>10050A</t>
  </si>
  <si>
    <t>ProjDevCost</t>
  </si>
  <si>
    <t>Project Development costs</t>
  </si>
  <si>
    <t>Costs of developing the project not attributable to an ECM - for example, preliminary assessment, IGA, and other costs involved in developing the proposal - excluding markup (from 1.97 templates)</t>
  </si>
  <si>
    <t>This is from 1.97 template - do we have old data in this/do we need to keep it?</t>
  </si>
  <si>
    <t>Project Development Costs</t>
  </si>
  <si>
    <t>Costs of developing the project not attributable to an ECM; for example, preliminary assessment, IGA, and other costs involved in developing the proposal, from old templates</t>
  </si>
  <si>
    <t>proj_dev_cost</t>
  </si>
  <si>
    <t>proj_dev_price</t>
  </si>
  <si>
    <t>Project Development Costs ($)</t>
  </si>
  <si>
    <t>10010tp</t>
  </si>
  <si>
    <t>TotImplExpsInitCost</t>
  </si>
  <si>
    <t>Cost of Goods and Services for the project</t>
  </si>
  <si>
    <t>Costs of goods and services (akin to direct costs) associated with implementation of the project--NOT including post-acceptance performance period expenses ($).</t>
  </si>
  <si>
    <t>I259</t>
  </si>
  <si>
    <t>Costs of Goods and Services (COGS) for the project</t>
  </si>
  <si>
    <t xml:space="preserve">Implementation Cost (Direct) for the project
</t>
  </si>
  <si>
    <t>total_base_construction_cost</t>
  </si>
  <si>
    <t xml:space="preserve">Costs of Goods and Services (COGS)/ Implementation Cost (Direct) ($)
</t>
  </si>
  <si>
    <t>10010Aa</t>
  </si>
  <si>
    <t>TotPidECM</t>
  </si>
  <si>
    <t>Total Project Implementation Delivery Charge</t>
  </si>
  <si>
    <t>Project implementation delivery cost (akin to markup) for the entire project; includes design, commissioning, training, performance bond, project management, overhead and profit</t>
  </si>
  <si>
    <t>J259</t>
  </si>
  <si>
    <t xml:space="preserve">Project Mark-up incl. overhead and profit
</t>
  </si>
  <si>
    <t>total_delivery_charge</t>
  </si>
  <si>
    <t>Total Project Implementation Delivery Charge / Project Mark-up ($)</t>
  </si>
  <si>
    <t>TotMVExpense</t>
  </si>
  <si>
    <t>Total ECM Upfront M&amp;V Expenses</t>
  </si>
  <si>
    <t>Cost of M&amp;V activity for all the ECMs</t>
  </si>
  <si>
    <t>M&amp;V Expense</t>
  </si>
  <si>
    <t>PA Expenses</t>
  </si>
  <si>
    <t>total_ecm_mv_expense</t>
  </si>
  <si>
    <t>total_mv_expense</t>
  </si>
  <si>
    <t>M&amp;V/PA Expense ($)</t>
  </si>
  <si>
    <t>10010T</t>
  </si>
  <si>
    <t>TotValImplExpsAppliedIncentives</t>
  </si>
  <si>
    <t>Total Applied Incentives</t>
  </si>
  <si>
    <t>Total Incentives (e.g., rebates or grants) that are being applied to reduce the project's implementation price (and thus the amount financed).</t>
  </si>
  <si>
    <t>K259</t>
  </si>
  <si>
    <t>Project Applied Up-front Incentives</t>
  </si>
  <si>
    <t>total_applied_incentives</t>
  </si>
  <si>
    <t>Project Applied Up-front Incentives ($)</t>
  </si>
  <si>
    <t>ProjDevPrice</t>
  </si>
  <si>
    <t>Project Development Price</t>
  </si>
  <si>
    <t>Price of developing the project not attributable to an ECM - for example, preliminary assessment, IGA, and other costs involved in developing the proposal. This includes the markup and profit for these costs.</t>
  </si>
  <si>
    <t>L8</t>
  </si>
  <si>
    <t>Price of developing the project not attributable to an ECM; for example, preliminary assessment, IGA, and other costs involved in developing the proposal</t>
  </si>
  <si>
    <t>Project Development Price ($)</t>
  </si>
  <si>
    <t>IGA Price ($)</t>
  </si>
  <si>
    <t>Project Development/IGA Price ($)</t>
  </si>
  <si>
    <t>11001c</t>
  </si>
  <si>
    <t>CNotesSch2</t>
  </si>
  <si>
    <t>Custom Notes- Schedule 2a</t>
  </si>
  <si>
    <t>A269</t>
  </si>
  <si>
    <t>Notes- Schedule 2</t>
  </si>
  <si>
    <t>Custom Notes- Schedule 2</t>
  </si>
  <si>
    <t>sch2a_template_notes</t>
  </si>
  <si>
    <t>30010A</t>
  </si>
  <si>
    <t>ImplExpsInitCost</t>
  </si>
  <si>
    <t>ECM Cost of Goods and Services</t>
  </si>
  <si>
    <t>Costs of goods and services (direct costs) associated with implementation of the ECM--NOT including post-acceptance performance period expenses ($).</t>
  </si>
  <si>
    <t>I9 through I&lt;n&gt;</t>
  </si>
  <si>
    <t>Please confirm that this DB Field Name is indeed what we now call Cost of Goods and Services in schedule 2a</t>
  </si>
  <si>
    <t xml:space="preserve">Implementation Cost (Direct) for ECM
</t>
  </si>
  <si>
    <t>Initial costs associated with implementation of ECM NOT including post-acceptance performance period expenses ($)</t>
  </si>
  <si>
    <t>ecm_base_construction_cost</t>
  </si>
  <si>
    <t>ecm_impl_price</t>
  </si>
  <si>
    <t>base_construction_cost</t>
  </si>
  <si>
    <t>project.ecm</t>
  </si>
  <si>
    <t>ecm_id</t>
  </si>
  <si>
    <t>ECM Cost of Goods and Services / Implementation Cost (Direct) ($)</t>
  </si>
  <si>
    <t>30004A</t>
  </si>
  <si>
    <t>ECMCoverage</t>
  </si>
  <si>
    <t>ECM Coverage</t>
  </si>
  <si>
    <t>% of total project floor area affected by the ECM.</t>
  </si>
  <si>
    <t>F9 through F&lt;n&gt;</t>
  </si>
  <si>
    <t>% of total project floor area affected by the ECM</t>
  </si>
  <si>
    <t>ecm_coverage_pct</t>
  </si>
  <si>
    <t>ECM Coverage (%)</t>
  </si>
  <si>
    <t>30004AA</t>
  </si>
  <si>
    <t>ECMLocation</t>
  </si>
  <si>
    <t>ECM Location</t>
  </si>
  <si>
    <t>Building or site location where the ECM is installed</t>
  </si>
  <si>
    <t>G9 through G&lt;n&gt;</t>
  </si>
  <si>
    <t>ecm_location</t>
  </si>
  <si>
    <t>ECMSize</t>
  </si>
  <si>
    <t>ECM Size</t>
  </si>
  <si>
    <t xml:space="preserve">Text Field for general inputs on size of ECM (example:KW of lighting, gallons of water) </t>
  </si>
  <si>
    <t>E9 through E&lt;n&gt;</t>
  </si>
  <si>
    <t>ecm_size</t>
  </si>
  <si>
    <t>30010B</t>
  </si>
  <si>
    <t>ImplExpsAppliedIncentives</t>
  </si>
  <si>
    <t>Incentives Applied to ECM</t>
  </si>
  <si>
    <t>Incentives (e.g., rebates or grants) that are being applied to reduce the ECM implementation price (and thus the amount financed).</t>
  </si>
  <si>
    <t>K9 through K&lt;n&gt;</t>
  </si>
  <si>
    <t>Please confirm that this DB Field Name is indeed the ECM-level incentive</t>
  </si>
  <si>
    <t>ECM Applied Up-front Incentives</t>
  </si>
  <si>
    <t>Incentives (e.g., rebates or grants) that are being applied to reduce the project's implementation price (and thus the amount financed)</t>
  </si>
  <si>
    <t>ecm_applied_incentives</t>
  </si>
  <si>
    <t>applied_incentives</t>
  </si>
  <si>
    <t>ECM Applied Up-front Incentives ($)</t>
  </si>
  <si>
    <t>MVExpense</t>
  </si>
  <si>
    <t>Cost of M&amp;V activity by ECM ($).</t>
  </si>
  <si>
    <t>H9 through H&lt;n&gt;</t>
  </si>
  <si>
    <t>Up-front cost of M&amp;V activity by ECM ($)</t>
  </si>
  <si>
    <t>ecm_mv_expense</t>
  </si>
  <si>
    <t>mv_expense</t>
  </si>
  <si>
    <t>M&amp;V Expense ($)</t>
  </si>
  <si>
    <t>PidECM</t>
  </si>
  <si>
    <t>Project Implementation Delivery Charge</t>
  </si>
  <si>
    <t>Project implementation delivery cost (akin to markup) for each of the ECMs; includes design, commissioning, training, performance bond, project management, overhead and profit</t>
  </si>
  <si>
    <t>J9 through J&lt;n&gt;</t>
  </si>
  <si>
    <t xml:space="preserve">Not sure if this is the correct db field name - need to check/confirm. </t>
  </si>
  <si>
    <t>ECM Implementation Delivery Charge</t>
  </si>
  <si>
    <t xml:space="preserve">ECM Mark-up incl. overhead and profit
</t>
  </si>
  <si>
    <t>ecm_delivery_charge</t>
  </si>
  <si>
    <t>ECM Implementation Delivery Charge / Mark-up ($)</t>
  </si>
  <si>
    <t>ImplPrice</t>
  </si>
  <si>
    <t>Total Implementation Price</t>
  </si>
  <si>
    <t>Total Implementation price inclusive all of the ECMs (net of incentives) and project development costs ($).</t>
  </si>
  <si>
    <t>L8 through L&lt;n&gt;</t>
  </si>
  <si>
    <t xml:space="preserve">This description does not match with the template fields. This is only the total of a single ECM - not all ECMs. </t>
  </si>
  <si>
    <t>ECM Implementation Price</t>
  </si>
  <si>
    <t>Total Implementation costs associated with implementation of ECM ($)</t>
  </si>
  <si>
    <t>ecm_total_implementation_price</t>
  </si>
  <si>
    <t>ecm_item_calc</t>
  </si>
  <si>
    <t>implementation_price</t>
  </si>
  <si>
    <t>uuid</t>
  </si>
  <si>
    <t>ECM Implementation Price ($)</t>
  </si>
  <si>
    <t>N/a</t>
  </si>
  <si>
    <t>CNotesSch2b</t>
  </si>
  <si>
    <t>Custom Notes- Schedule 2b</t>
  </si>
  <si>
    <t>Schedule-2b</t>
  </si>
  <si>
    <t>A27</t>
  </si>
  <si>
    <t>Notes- Schedule 2b</t>
  </si>
  <si>
    <t>sch2b_template_notes</t>
  </si>
  <si>
    <t>11001d</t>
  </si>
  <si>
    <t>CNotesSch3</t>
  </si>
  <si>
    <t>Custom Notes- Schedule 3</t>
  </si>
  <si>
    <t>A30</t>
  </si>
  <si>
    <t>Notes- Schedule 3</t>
  </si>
  <si>
    <t>sch3_template_notes</t>
  </si>
  <si>
    <t>10048Lt</t>
  </si>
  <si>
    <t>TotRetainedSavings</t>
  </si>
  <si>
    <t>Total Dollar savings retained by customer (Input)</t>
  </si>
  <si>
    <t>Total amount of guaranteed dollar savings retained by Customer for all performance years.</t>
  </si>
  <si>
    <t>AC7</t>
  </si>
  <si>
    <t>January - Description was incorrect; changed in the UI and user guide.  This is TOTAL retained savings over the performance period (from the far right column on Schedule 3).  Added to list - original list did not have this</t>
  </si>
  <si>
    <t>Dollar savings retained</t>
  </si>
  <si>
    <t>total_retained_savings</t>
  </si>
  <si>
    <t>TotIncentives</t>
  </si>
  <si>
    <t>TOTAL Incentives (Annual)</t>
  </si>
  <si>
    <t>Calculated field: Total value of all annual incentive payments ($).</t>
  </si>
  <si>
    <t>AC6</t>
  </si>
  <si>
    <t>Total Incentives Value</t>
  </si>
  <si>
    <t>Calculated field: Total value of all annual incentive payments ($)</t>
  </si>
  <si>
    <t>total_incentives</t>
  </si>
  <si>
    <t>Total Incentives Value ($)</t>
  </si>
  <si>
    <t>TotInterest</t>
  </si>
  <si>
    <t>TOTAL Interest</t>
  </si>
  <si>
    <t>Calculated field:  Total value of all retained savings ($).</t>
  </si>
  <si>
    <t>AC8</t>
  </si>
  <si>
    <t>Need to change description in UI and user guide. Should say "Total interest paid over the loan term."</t>
  </si>
  <si>
    <t>Total Interest Paid</t>
  </si>
  <si>
    <t>Calculated field:  Total interest paid over the loan term ($)</t>
  </si>
  <si>
    <t>total_interest</t>
  </si>
  <si>
    <t>amortization_total</t>
  </si>
  <si>
    <t>Total Interest Paid ($)</t>
  </si>
  <si>
    <t>TotMaintPerfPeriodExp</t>
  </si>
  <si>
    <t xml:space="preserve">TOTAL Maintenance -  Performance Period Expense </t>
  </si>
  <si>
    <t>Calculated field: Total maintenance -  performance period expense ($).</t>
  </si>
  <si>
    <t>AC13</t>
  </si>
  <si>
    <t xml:space="preserve">Total Maintenance - Perform. Period Expense </t>
  </si>
  <si>
    <t>Calculated field: Total maintenance - performance period expense ($)</t>
  </si>
  <si>
    <t>maintenance_perf_period_field_total</t>
  </si>
  <si>
    <t>performance_period_field_total</t>
  </si>
  <si>
    <t>Total Maintenance - Performance Period Expense ($)</t>
  </si>
  <si>
    <t>TotMgmtPerfPeriodExp</t>
  </si>
  <si>
    <t>TOTAL Management/Administration -Performance Period Expense</t>
  </si>
  <si>
    <t>Calculated field: Total value of all management/administration -performance period expense ($).</t>
  </si>
  <si>
    <t>AC11</t>
  </si>
  <si>
    <t>Total Mgmt/Admin -Perform. Period Expense</t>
  </si>
  <si>
    <t>Calculated field: Total value of all management/administration -performance period expense ($)</t>
  </si>
  <si>
    <t>management_perf_period_field_total</t>
  </si>
  <si>
    <t>Total Management/Admin -Perform. Period Expense ($)</t>
  </si>
  <si>
    <t>TotOpPerfPeriodExp</t>
  </si>
  <si>
    <t xml:space="preserve">TOTAL Operation - Performance Period Expense </t>
  </si>
  <si>
    <t xml:space="preserve">Calculated field:  Total operations - performance period expense ($). </t>
  </si>
  <si>
    <t>AC12</t>
  </si>
  <si>
    <t xml:space="preserve">Total Operation - Perform. Period Expense </t>
  </si>
  <si>
    <t>Calculated field:  Total operations - performance period expense ($)</t>
  </si>
  <si>
    <t>operation_perf_period_field_total</t>
  </si>
  <si>
    <t>Total Operation - Performance Period Expense ($)</t>
  </si>
  <si>
    <t>TotOther1PerfPeriodExp</t>
  </si>
  <si>
    <t>TOTAL Other 1 -  Performance Period Expense</t>
  </si>
  <si>
    <t>Calculated field:  Total Other 1 -  performance period expense ($).</t>
  </si>
  <si>
    <t>AC16</t>
  </si>
  <si>
    <t>Total Other 1 -  Perform. Period Expense</t>
  </si>
  <si>
    <t>Calculated field:  Total Other 1 -  performance period expense ($)</t>
  </si>
  <si>
    <t>other_1_perf_period_field_total</t>
  </si>
  <si>
    <t>Total Other 1 -  Performance Period Expense ($)</t>
  </si>
  <si>
    <t>TotOther2PerfPeriodExp</t>
  </si>
  <si>
    <t xml:space="preserve">TOTAL Other 2 -  Performance Period Expense </t>
  </si>
  <si>
    <t xml:space="preserve">Calculated field: Total Other 2 -  performance period expense ($). </t>
  </si>
  <si>
    <t>AC17</t>
  </si>
  <si>
    <t xml:space="preserve">Total Other 2 -  Perform. Period Expense </t>
  </si>
  <si>
    <t xml:space="preserve">Calculated field: Total Other 2 -  performance period expense ($) </t>
  </si>
  <si>
    <t>other_2_perf_period_field_total</t>
  </si>
  <si>
    <t>Total Other 2 -  Performance Period Expense ($)</t>
  </si>
  <si>
    <t>TotPrincipalRepayment</t>
  </si>
  <si>
    <t xml:space="preserve">TOTAL Principal Repayment </t>
  </si>
  <si>
    <t>Calculated field:  Total value of all contributions towards principal ($).</t>
  </si>
  <si>
    <t>AC5</t>
  </si>
  <si>
    <t>Need more accurate description. Also If these are all the TOTALS in column AC in the template why is the db field name not "TotTot"?  I thought we had a bunch of those in the Json file?</t>
  </si>
  <si>
    <t xml:space="preserve">Total Principal Repayment </t>
  </si>
  <si>
    <t>Calculated field:  Total value of all contributions towards principal ($)</t>
  </si>
  <si>
    <t>total_principal</t>
  </si>
  <si>
    <t>Total Principal Repayment ($)</t>
  </si>
  <si>
    <t>TotRepairReplPerfPeriodExp</t>
  </si>
  <si>
    <t>TOTAL Repair and Replacement -  Performance Period Expense</t>
  </si>
  <si>
    <t>Calculated field:  Total repair and replacement -  performance period expense ($).</t>
  </si>
  <si>
    <t>AC14</t>
  </si>
  <si>
    <t>Total Repair and Replacement -  Perform. Period Expense</t>
  </si>
  <si>
    <t>Calculated field:  Total repair and replacement - performance period expense ($)</t>
  </si>
  <si>
    <t>repair_perf_period_field_total</t>
  </si>
  <si>
    <t>Total Repair and Replacement -  Performance Period Expense ($)</t>
  </si>
  <si>
    <t>TotTotDebtService</t>
  </si>
  <si>
    <t xml:space="preserve">TOTAL Total Debt Service </t>
  </si>
  <si>
    <t xml:space="preserve">Calculated field: Total debt service payments ($). </t>
  </si>
  <si>
    <t>AC9</t>
  </si>
  <si>
    <t xml:space="preserve">Total Debt Service </t>
  </si>
  <si>
    <t>Calculated field: Total debt service payments ($)</t>
  </si>
  <si>
    <t>Total Debt Service  ($)</t>
  </si>
  <si>
    <t>Performance period year</t>
  </si>
  <si>
    <t>Year</t>
  </si>
  <si>
    <t>Schedule-3 and Schedule-1 but not a fillable field in template</t>
  </si>
  <si>
    <t>Schedule-1 and Schedule-3</t>
  </si>
  <si>
    <t>Y - in tables</t>
  </si>
  <si>
    <t>Mike - I added a row for Year - even though it's not a data entry field - we needed it for the data dump download. This is not the same as Old DB field ID 10006a</t>
  </si>
  <si>
    <t>Year [N]</t>
  </si>
  <si>
    <t>pp_year</t>
  </si>
  <si>
    <t>10092ct</t>
  </si>
  <si>
    <t>TotPerfPeriodMarkupAmt</t>
  </si>
  <si>
    <t>Total Performance Period Markup ($)</t>
  </si>
  <si>
    <t>Calculated field: Total Dollar value based on percentage of performance period markup ($).</t>
  </si>
  <si>
    <t>Schedule-3- Deprecated</t>
  </si>
  <si>
    <t>Question - this is from the earlier template. We are still using the old field - PLUS the new Implementation Delivery Charge in 1.99 - is that correct?</t>
  </si>
  <si>
    <t>Perform. Period Markup ($)</t>
  </si>
  <si>
    <t>pp_markup_total</t>
  </si>
  <si>
    <t>total_markup</t>
  </si>
  <si>
    <t>Performance Period Markup ($)</t>
  </si>
  <si>
    <t>10008t</t>
  </si>
  <si>
    <t>TotSimplePayback</t>
  </si>
  <si>
    <t>Project Simple Payback</t>
  </si>
  <si>
    <t>Calculated field: Simple payback time (years) for the entire project.</t>
  </si>
  <si>
    <t>AJ259</t>
  </si>
  <si>
    <t>Simple Payback</t>
  </si>
  <si>
    <t>total_simple_payback</t>
  </si>
  <si>
    <t>Simple Payback (Years)</t>
  </si>
  <si>
    <t>TotEstWaterSavingsAmt</t>
  </si>
  <si>
    <t>Estimated Project annual cost savings - Water use ($)</t>
  </si>
  <si>
    <t>Calculated field: Projected water cost savings for the year, if the project involved water conservation ($).</t>
  </si>
  <si>
    <t>AC258</t>
  </si>
  <si>
    <t>Proj. Estim. annual cost savings - Water use</t>
  </si>
  <si>
    <t>Calculated field: Projected water cost savings for the year, if the project involved water conservation ($)</t>
  </si>
  <si>
    <t>water_cost_proj_est_savings</t>
  </si>
  <si>
    <t>Project Estimated Annual Cost Savings - Water ($)</t>
  </si>
  <si>
    <t>TotEstAvoidedOMCostAmt</t>
  </si>
  <si>
    <t>Estimated Project annual savings - Avoided O&amp;M costs ($)</t>
  </si>
  <si>
    <t>Calculated field:  Projected dollar equivalent of avoided O&amp;M costs for the year after completion of the project ($).</t>
  </si>
  <si>
    <t>AF258</t>
  </si>
  <si>
    <t>Proj. Estim. annual savings - Avoided O&amp;M costs</t>
  </si>
  <si>
    <t>Calculated field:  Projected dollar equivalent of avoided O&amp;M costs for the year after completion of the project ($)</t>
  </si>
  <si>
    <t>om_cost_proj_est_savings</t>
  </si>
  <si>
    <t>Project Estimated Annual Savings - Avoided O&amp;M Costs ($)</t>
  </si>
  <si>
    <t>TotEstOtherAvoidedCostAmt</t>
  </si>
  <si>
    <t>Estimated Project annual savings - Other avoided costs ($)</t>
  </si>
  <si>
    <t>Calculated field:  Projected dollar equivalent of avoided costs for the year after completion of the project ($).</t>
  </si>
  <si>
    <t>AG258</t>
  </si>
  <si>
    <t>Estim. annual savings - Other avoided costs</t>
  </si>
  <si>
    <t>Calculated field:  Projected dollar equivalent of avoided costs for the year after completion of the project ($)</t>
  </si>
  <si>
    <t>non_energy_cost_proj_est_savings</t>
  </si>
  <si>
    <t>Project Estimated Annual Savings - Other Avoided Costs ($)</t>
  </si>
  <si>
    <t>TotTotEngSaving</t>
  </si>
  <si>
    <t>Estimated Project Total Annual Energy Savings(MMBTU)</t>
  </si>
  <si>
    <t>Calculated field:  Total of all estimated ANNUAL energy savings for project (MMBtu).</t>
  </si>
  <si>
    <t>Z258</t>
  </si>
  <si>
    <t>Proj. Estim. Energy Savings Total</t>
  </si>
  <si>
    <t>Calculated field:  Annual estimated energy savings for all fuel sources converted to MMBTU</t>
  </si>
  <si>
    <t>total_energy_savings</t>
  </si>
  <si>
    <t>Project Estimated Energy Savings Total (MMBtu)</t>
  </si>
  <si>
    <t>TotTotEngCosSaving</t>
  </si>
  <si>
    <t>Estimated Project annual savings - Energy and resource savings ($)</t>
  </si>
  <si>
    <t>Calculated field:  Projected dollar equivalent of resource savings for the year NOT including O&amp;M and other non-energy resource savings ($).</t>
  </si>
  <si>
    <t>Y258</t>
  </si>
  <si>
    <t>Proj. Estim. annual savings - Energy and resource Cost savings</t>
  </si>
  <si>
    <t>Calculated field:  Projected dollar equivalent of resource savings for the year NOT including O&amp;M and other non-energy resource savings ($)</t>
  </si>
  <si>
    <t>total_energy_cost_savings</t>
  </si>
  <si>
    <t>Project Estimated Annual Savings - Energy and Resource Cost Savings ($)</t>
  </si>
  <si>
    <t>TotBaselineElecKWh</t>
  </si>
  <si>
    <t xml:space="preserve">Project Baseline Electricity use (kWh) </t>
  </si>
  <si>
    <t>Calculated field: Baseline annual electricity use pre-retrofit (kWh).</t>
  </si>
  <si>
    <t>D258</t>
  </si>
  <si>
    <t>Baseline Electricity use</t>
  </si>
  <si>
    <t>elec_use_proj_baseline</t>
  </si>
  <si>
    <t>ecm_baseline_total</t>
  </si>
  <si>
    <t>Baseline Electricity Use (kWh)</t>
  </si>
  <si>
    <t>TotBaselineElecDemandKW</t>
  </si>
  <si>
    <t>Project Baseline Electricity demand (kW/mo)</t>
  </si>
  <si>
    <t>Calculated field: Baseline annual non-coincident peak demand pre-retrofit (kW/mo).</t>
  </si>
  <si>
    <t>F258</t>
  </si>
  <si>
    <t>Project Baseline Electricity Demand</t>
  </si>
  <si>
    <t>Avg. kW/mo</t>
  </si>
  <si>
    <t>Calculated field: Baseline annual non-coincident peak demand pre-retrofit (kW/mo)</t>
  </si>
  <si>
    <t>elec_demand_proj_baseline</t>
  </si>
  <si>
    <t>Project Baseline Electricity Demand (kW/mo)</t>
  </si>
  <si>
    <t>TotBaselineNGMMBtu</t>
  </si>
  <si>
    <t>Project Baseline Natural gas use (MMBtu)</t>
  </si>
  <si>
    <t>Calculated field: Baseline annual gas consumption (MMBtu).</t>
  </si>
  <si>
    <t>G258</t>
  </si>
  <si>
    <t>Baseline Natural gas use</t>
  </si>
  <si>
    <t>"MMBtu"</t>
  </si>
  <si>
    <t>Calculated field: Baseline annual gas consumption (MMBtu)</t>
  </si>
  <si>
    <t>ng_proj_baseline</t>
  </si>
  <si>
    <t>Baseline Natural Gas Use (MMBtu)</t>
  </si>
  <si>
    <t>TotBaselineOther1EnergyMMBtu</t>
  </si>
  <si>
    <t>Project Baseline Other 1 energy use (MMBtu)</t>
  </si>
  <si>
    <t>Calculated field: Baseline usage of other energy type (MMBtu).</t>
  </si>
  <si>
    <t>H258</t>
  </si>
  <si>
    <t>Baseline Other 1 energy use</t>
  </si>
  <si>
    <t>Calculated field: Baseline usage of other energy type (MMBtu)</t>
  </si>
  <si>
    <t>other_1_proj_baseline</t>
  </si>
  <si>
    <t>Baseline Other 1 Energy Use (MMBtu)</t>
  </si>
  <si>
    <t>10124A</t>
  </si>
  <si>
    <t>TotBaselineOther2EnergyMMBtu</t>
  </si>
  <si>
    <t>Project Baseline Other 2 energy use (MMBtu)</t>
  </si>
  <si>
    <t>Calculated field: Baseline usage of other energy types (MMBtu).</t>
  </si>
  <si>
    <t>I258</t>
  </si>
  <si>
    <t>Baseline Other 2 energy use</t>
  </si>
  <si>
    <t>Calculated field: Baseline usage of other energy types (MMBtu)</t>
  </si>
  <si>
    <t>other_2_proj_baseline</t>
  </si>
  <si>
    <t>Baseline Other 2 Energy Use (MMBtu)</t>
  </si>
  <si>
    <t>TotBaselineWaterKgal</t>
  </si>
  <si>
    <t>Project Baseline Project Water use (kGal)</t>
  </si>
  <si>
    <t>Calculated field: Baseline annual water consumption (kGal).</t>
  </si>
  <si>
    <t>J258</t>
  </si>
  <si>
    <t>Project Baseline Water Use</t>
  </si>
  <si>
    <t>"kGal"</t>
  </si>
  <si>
    <t>Baseline annual water consumption (kGal)</t>
  </si>
  <si>
    <t>water_proj_baseline</t>
  </si>
  <si>
    <t>Project Baseline Water Use (kGal)</t>
  </si>
  <si>
    <t>TotBaselineEnergyRsrcAmt</t>
  </si>
  <si>
    <t>Project Baseline Energy and resource use ($)</t>
  </si>
  <si>
    <t>Calculated field: Dollar equivalent of annual energy and resource usage NOT including O&amp;M and other non-energy resources ($).</t>
  </si>
  <si>
    <t>L258</t>
  </si>
  <si>
    <t>Baseline Energy and resource use</t>
  </si>
  <si>
    <t>Calculated field: Dollar equivalent of annual energy and resource usage not including O&amp;M and other non-energy resources ($)</t>
  </si>
  <si>
    <t>energy_resource_proj_baseline</t>
  </si>
  <si>
    <t>Baseline Energy and Resource Use ($)</t>
  </si>
  <si>
    <t>TotBaselineOMCost</t>
  </si>
  <si>
    <t>Project Baseline O&amp;M costs ($)</t>
  </si>
  <si>
    <t>Calculated field: Annual O&amp;M costs ($).</t>
  </si>
  <si>
    <t>M258</t>
  </si>
  <si>
    <t>Baseline O&amp;M costs</t>
  </si>
  <si>
    <t>Calculated field: Annual O&amp;M costs ($)</t>
  </si>
  <si>
    <t>om_proj_baseline</t>
  </si>
  <si>
    <t>Baseline O&amp;M Costs ($)</t>
  </si>
  <si>
    <t>TotBaselineNonEnergyCost</t>
  </si>
  <si>
    <t>Project Baseline Other non-energy costs ($)</t>
  </si>
  <si>
    <t>Calculated field: Other annual non-energy costs that may be impacted by the project ($).</t>
  </si>
  <si>
    <t>N258</t>
  </si>
  <si>
    <t>Baseline Other non-energy costs</t>
  </si>
  <si>
    <t>non_energy_proj_baseline</t>
  </si>
  <si>
    <t>Baseline Other Non-Energy Costs ($)</t>
  </si>
  <si>
    <t>TotEstElecSavingsAmt</t>
  </si>
  <si>
    <t>Estimated Project annual  cost savings - Electricity use ($)</t>
  </si>
  <si>
    <t>Calculated field: Projected electricity cost savings  for the year ($).</t>
  </si>
  <si>
    <t>Q258</t>
  </si>
  <si>
    <t>Proj. Estim annual cost savings - Electricity use</t>
  </si>
  <si>
    <t>elec_use_cost_proj_est_savings</t>
  </si>
  <si>
    <t>Project Estimated Annual Cost Savings - Electricity Use ($)</t>
  </si>
  <si>
    <t>TotEstElecDemandSavingskW</t>
  </si>
  <si>
    <t>Estimated Project annual savings - Electricity demand (kW/mo)</t>
  </si>
  <si>
    <t>Calculated field: Projected Electricity demand reduction for the year (kW/mo).</t>
  </si>
  <si>
    <t>R258</t>
  </si>
  <si>
    <t>Proj. Estim annual savings - Electricity demand</t>
  </si>
  <si>
    <t>elec_demand_energy_proj_est_savings</t>
  </si>
  <si>
    <t>Project Estimated Annual Savings - Electricity Demand (kW/mo)</t>
  </si>
  <si>
    <t>TotEstElecDemandSavingsAmt</t>
  </si>
  <si>
    <t>Estimated Project annual cost savings - Electricity Demand ($)</t>
  </si>
  <si>
    <t>Calculated field: Projected electricity demand reduction cost savings for the year ($).</t>
  </si>
  <si>
    <t>S258</t>
  </si>
  <si>
    <t>Proj. Estim. annual cost savings - Electricity Demand</t>
  </si>
  <si>
    <t>Calculated field: Projected electricity demand reduction cost savings for the year ($)</t>
  </si>
  <si>
    <t>elec_demand_cost_proj_est_savings</t>
  </si>
  <si>
    <t>Project Estimated Annual Cost Savings - Electricity Demand ($)</t>
  </si>
  <si>
    <t>TotEstNGSavingsAmt</t>
  </si>
  <si>
    <t>Estimated Project annual cost savings - Natural Gas ($)</t>
  </si>
  <si>
    <t>Calculated field: Projected natural gas cost savings  for the year ($).</t>
  </si>
  <si>
    <t>U258</t>
  </si>
  <si>
    <t>Proj. Estim. annual cost savings - Natural Gas</t>
  </si>
  <si>
    <t>Calculated field: Projected natural gas cost savings  for the year ($)</t>
  </si>
  <si>
    <t>ng_cost_proj_est_savings</t>
  </si>
  <si>
    <t>Project Estimated Annual Cost Savings - Natural Gas ($)</t>
  </si>
  <si>
    <t>TotEstOther1EnergySavingsAmt</t>
  </si>
  <si>
    <t>Estimated Project annual cost savings - Other 1 ($)</t>
  </si>
  <si>
    <t>Calculated field: Projected cost savings for the year of other energy types ($).</t>
  </si>
  <si>
    <t>W258</t>
  </si>
  <si>
    <t>Proj. Estim. annual cost savings - Other 1</t>
  </si>
  <si>
    <t>Calculated field: Projected cost savings for the year of other energy types ($)</t>
  </si>
  <si>
    <t>other_1_cost_proj_est_savings</t>
  </si>
  <si>
    <t>Project Estimated Annual Cost Savings - Other 1 ($)</t>
  </si>
  <si>
    <t>10152A</t>
  </si>
  <si>
    <t>TotEstOther2EnergySavingsAmt</t>
  </si>
  <si>
    <t>Estimated Project annual cost savings - Other 2 ($)</t>
  </si>
  <si>
    <t>Proj. Estim. annual cost savings - Other 2</t>
  </si>
  <si>
    <t>other_2_cost_proj_est_savings</t>
  </si>
  <si>
    <t>Project Estimated Annual Cost Savings - Other 2 ($)</t>
  </si>
  <si>
    <t>TotEstAnnCosSaving</t>
  </si>
  <si>
    <t xml:space="preserve">Estimated Project annual cost savings </t>
  </si>
  <si>
    <t xml:space="preserve">Estimated Project annual savings </t>
  </si>
  <si>
    <t>AH258</t>
  </si>
  <si>
    <t>total_estimated_annual_cost_savings</t>
  </si>
  <si>
    <t>Estimated Project Annual Savings  ($)</t>
  </si>
  <si>
    <t>11001e</t>
  </si>
  <si>
    <t>CNotesSch4</t>
  </si>
  <si>
    <t>Custom Notes- Schedule 4</t>
  </si>
  <si>
    <t>A267</t>
  </si>
  <si>
    <t>Notes- Schedule 4</t>
  </si>
  <si>
    <t>sch4_template_notes</t>
  </si>
  <si>
    <t>TotEngSaving</t>
  </si>
  <si>
    <t>Total estimated annual ECM energy savings (MMBTU)</t>
  </si>
  <si>
    <t>Calculated field: Total estimated annual energy savings from all energy sources (electricity, natural gas, Other 1, Other 2) for the ECM (MMBtu).</t>
  </si>
  <si>
    <t>Z8 through Z&lt;n&gt;</t>
  </si>
  <si>
    <t>not in current UI</t>
  </si>
  <si>
    <t>ECM Total Estim. annual energy savings (MMBTU)</t>
  </si>
  <si>
    <t>ecm_total_energy_savings</t>
  </si>
  <si>
    <t>This is in Projects but shouldnt be - I think</t>
  </si>
  <si>
    <t>ECM Total Estimated Annual Energy Savings (MMBTU)</t>
  </si>
  <si>
    <t>TotEngCosSaving</t>
  </si>
  <si>
    <t>ECM Estimated annual savings - Energy and resource savings ($)</t>
  </si>
  <si>
    <t>Calculated field:  Sum of all the energy and water cost savings ($).</t>
  </si>
  <si>
    <t>AA8 through AA&lt;n&gt;</t>
  </si>
  <si>
    <t>ECM estim. annual cost savings - Energy and resource</t>
  </si>
  <si>
    <t>Calculated field:  Sum of all the energy and water cost savings ($)</t>
  </si>
  <si>
    <t>ecm_total_energy_cost_savings</t>
  </si>
  <si>
    <t>This is in projects tab but shouldn't be</t>
  </si>
  <si>
    <t>ECM Estimated Annual Cost Savings - Energy and Resource ($)</t>
  </si>
  <si>
    <t>30026L</t>
  </si>
  <si>
    <t>BaselineNonElectMMBtu</t>
  </si>
  <si>
    <t>ECM Baseline Non-electric use</t>
  </si>
  <si>
    <t>Baseline natural gas usage (MMBtu).</t>
  </si>
  <si>
    <t>G8 through G&lt;n&gt;</t>
  </si>
  <si>
    <t>Baseline Non-electric use</t>
  </si>
  <si>
    <t>Baseline natural gas usage (MMBtu)</t>
  </si>
  <si>
    <t>non_elec_baseline_value</t>
  </si>
  <si>
    <t>ecm_baseline</t>
  </si>
  <si>
    <t>/portfolio/{projectId}/ecm/{ecmId}/baseline</t>
  </si>
  <si>
    <t>id</t>
  </si>
  <si>
    <t>ECM Baseline Non-Electric Use (MMBtu)</t>
  </si>
  <si>
    <t>BaselineEnergyRsrcAmt</t>
  </si>
  <si>
    <t>ECM Baseline- Energy and resource use ($)</t>
  </si>
  <si>
    <t>Annual baseline dollar equivalent of resource savings for the ECM NOT including O&amp;M and other non-energy resource savings ($).</t>
  </si>
  <si>
    <t>Baseline- Energy and resource costs</t>
  </si>
  <si>
    <t>Annual baseline dollar equivalent of resource savings for the year NOT including O&amp;M and other non-energy resource savings ($)</t>
  </si>
  <si>
    <t>energy_resource_ecm_baseline_value</t>
  </si>
  <si>
    <t>ECM Baseline - Energy and Resource Costs ($)</t>
  </si>
  <si>
    <t>BaselineWaterKgal</t>
  </si>
  <si>
    <t>ECM Baseline-ECM Water use (kgal)</t>
  </si>
  <si>
    <t>Annual baseline water usage for the ECM (kGal).</t>
  </si>
  <si>
    <t>J8 through J&lt;n&gt;</t>
  </si>
  <si>
    <t>Baseline-Water use</t>
  </si>
  <si>
    <t>Annual baseline water usage (kGal)</t>
  </si>
  <si>
    <t>water_ecm_baseline_value</t>
  </si>
  <si>
    <t>ECM Baseline - Water Use (kGal)</t>
  </si>
  <si>
    <t>BaselineElecDemandKW</t>
  </si>
  <si>
    <t>ECM Baseline-Electricity demand (kW/mo)</t>
  </si>
  <si>
    <t>Annual baseline electric demand for the ECM (kW/mo).</t>
  </si>
  <si>
    <t>F8 through F&lt;n&gt;</t>
  </si>
  <si>
    <t>needs better description to indicate we want the average monthly kW - not a total for the year (avg monthly kw*12)</t>
  </si>
  <si>
    <t>Baseline-Electricity demand</t>
  </si>
  <si>
    <t>Annual baseline electric demand (kW/mo)</t>
  </si>
  <si>
    <t>elec_demand_ecm_baseline_value</t>
  </si>
  <si>
    <t>ECM Baseline-Electricity Demand (kW/mo)</t>
  </si>
  <si>
    <t>BaselineElecKWh</t>
  </si>
  <si>
    <t>ECM Baseline-Electricity use (kWh)</t>
  </si>
  <si>
    <t>Annual baseline electricity usage for the ECM (kWh).</t>
  </si>
  <si>
    <t>E8 through E&lt;n&gt;</t>
  </si>
  <si>
    <t>Baseline-Electricity use</t>
  </si>
  <si>
    <t>Annual baseline electricity usage (kWh)</t>
  </si>
  <si>
    <t>elec_use_ecm_baseline_value</t>
  </si>
  <si>
    <t>ECM Baseline-Electricity Use (kWh)</t>
  </si>
  <si>
    <t>BaselineNGMMBtu</t>
  </si>
  <si>
    <t>ECM Baseline-Natural gas use (MMBtu)</t>
  </si>
  <si>
    <t>Annual baseline natural gas usage for the ECM (MMBtu).</t>
  </si>
  <si>
    <t>Baseline-Natural gas use</t>
  </si>
  <si>
    <t>Annual baseline natural gas usage (MMBtu)</t>
  </si>
  <si>
    <t>ng_ecm_baseline_value</t>
  </si>
  <si>
    <t>ECM Baseline-Natural Gas Use (MMBtu)</t>
  </si>
  <si>
    <t>BaselineOMCost</t>
  </si>
  <si>
    <t>ECM Baseline-O&amp;M costs ($)</t>
  </si>
  <si>
    <t>Annual baseline O&amp;M costs for the ECM ($).</t>
  </si>
  <si>
    <t>M8 through M&lt;n&gt;</t>
  </si>
  <si>
    <t>Baseline-O&amp;M costs</t>
  </si>
  <si>
    <t>Annual baseline O&amp;M costs ($)</t>
  </si>
  <si>
    <t>om_ecm_baseline_value</t>
  </si>
  <si>
    <t>ECM Baseline-O&amp;M Costs ($)</t>
  </si>
  <si>
    <t>BaselineOther1EnergyMMBtu</t>
  </si>
  <si>
    <t>ECM Baseline-Other 1 energy use (MMBtu)</t>
  </si>
  <si>
    <t>Annual baseline other energy type 1 usage for the ECM (MMBtu).</t>
  </si>
  <si>
    <t>H8 through H&lt;n&gt;</t>
  </si>
  <si>
    <t>Baseline-Other 1 energy use</t>
  </si>
  <si>
    <t>Annual baseline other energy type 1 usage (MMBtu)</t>
  </si>
  <si>
    <t>other_1_ecm_baseline_value</t>
  </si>
  <si>
    <t>ECM Baseline-Other 1 Energy Use (MMBtu)</t>
  </si>
  <si>
    <t>BaselineOther2EnergyMMBtu</t>
  </si>
  <si>
    <t>ECM Baseline-Other 2 energy use(MMBtu)</t>
  </si>
  <si>
    <t>Annual baseline other energy type 2 usage for the ECM (MMBtu).</t>
  </si>
  <si>
    <t>I8 through I&lt;n&gt;</t>
  </si>
  <si>
    <t>Baseline-Other 2 energy use</t>
  </si>
  <si>
    <t>Annual baseline other energy type 2 usage (MMBtu)</t>
  </si>
  <si>
    <t>other_2_ecm_baseline_value</t>
  </si>
  <si>
    <t>ECM Baseline-Other 2 Energy Use (MMBtu)</t>
  </si>
  <si>
    <t>BaselineNonEnergyCost</t>
  </si>
  <si>
    <t>ECM Baseline-Other non-energy costs ($)</t>
  </si>
  <si>
    <t>Annual baseline - other non-energy costs for the ECM ($).</t>
  </si>
  <si>
    <t>N8 through N&lt;n&gt;</t>
  </si>
  <si>
    <t>Baseline-Other non-energy costs</t>
  </si>
  <si>
    <t>Annual baseline - other non-energy costs ($)</t>
  </si>
  <si>
    <t>non_energy_ecm_baseline_value</t>
  </si>
  <si>
    <t>ECM Baseline-Other Non-Energy Costs ($)</t>
  </si>
  <si>
    <t>EstElecDemandSavingsAmt</t>
  </si>
  <si>
    <t>ECM Estimated annual cost savings - Electricity Demand ($)</t>
  </si>
  <si>
    <t>Estimated annual cost savings from electricity demand reduction for the ECM ($).</t>
  </si>
  <si>
    <t>S8 through S&lt;n&gt;</t>
  </si>
  <si>
    <t>ECM Estim. annual cost savings - Electricity Demand</t>
  </si>
  <si>
    <t>Estimated annual cost savings - Electricity Demand ($)</t>
  </si>
  <si>
    <t>elec_demand_cost_ecm_est_savings_value</t>
  </si>
  <si>
    <t>ecm_estimated_savings</t>
  </si>
  <si>
    <t>/portfolio/{projectId}/ecm/{ecmId}/savings</t>
  </si>
  <si>
    <t>ECM Estimated Annual Cost Savings - Electricity Demand ($)</t>
  </si>
  <si>
    <t>EstElecSavingsAmt</t>
  </si>
  <si>
    <t>ECM Estimated annual cost savings - Electricity use ($)</t>
  </si>
  <si>
    <t>Estimated annual cost savings from electricity use reduction for the ECM ($).</t>
  </si>
  <si>
    <t>Q8 through Q&lt;n&gt;</t>
  </si>
  <si>
    <t>ECM Estim. annual cost savings - Electricity use</t>
  </si>
  <si>
    <t>Estimated annual cost savings - Electricity use ($)</t>
  </si>
  <si>
    <t>elec_use_cost_ecm_est_savings_value</t>
  </si>
  <si>
    <t>ECM Estimated Annual Cost Savings - Electricity Use ($)</t>
  </si>
  <si>
    <t>EstNGSavingsAmt</t>
  </si>
  <si>
    <t>ECM Estimated annual cost savings - Natural Gas ($)</t>
  </si>
  <si>
    <t>Estimated annual cost savings from natural gas use reduction for the ECM ($).</t>
  </si>
  <si>
    <t>U8 through U&lt;n&gt;</t>
  </si>
  <si>
    <t>ECM Estim. annual cost savings - Natural Gas</t>
  </si>
  <si>
    <t>Estimated annual cost savings - Natural Gas ($)</t>
  </si>
  <si>
    <t>ng_cost_ecm_est_savings_value</t>
  </si>
  <si>
    <t>ECM Estimated Annual Cost Savings - Natural Gas ($)</t>
  </si>
  <si>
    <t>EstOther1EnergySavingsAmt</t>
  </si>
  <si>
    <t>ECM Estimated annual cost savings - Other1 energy ($)</t>
  </si>
  <si>
    <t>Estimated annual cost savings from other energy type 1 use reduction for the ECM ($).</t>
  </si>
  <si>
    <t>W8 through W&lt;n&gt;</t>
  </si>
  <si>
    <t>ECM Estim. annual cost savings - Other1 energy</t>
  </si>
  <si>
    <t>Estimated annual cost savings - Other1 energy type ($)</t>
  </si>
  <si>
    <t>other_1_cost_ecm_est_savings_value</t>
  </si>
  <si>
    <t>ECM Estimated Annual Cost Savings - Other1 Energy ($)</t>
  </si>
  <si>
    <t>30036B</t>
  </si>
  <si>
    <t>EstOther2EnergySavingsAmt</t>
  </si>
  <si>
    <t>ECM Estimated annual cost savings - Other2 energy ($)</t>
  </si>
  <si>
    <t>Estimated annual cost savings from other energy type 2 use reduction for the ECM ($).</t>
  </si>
  <si>
    <t>Y8 through Y&lt;n&gt;</t>
  </si>
  <si>
    <t>ECM Estim. annual cost savings - Other2 energy</t>
  </si>
  <si>
    <t>Estimated annual cost savings - Other2 energy ($)</t>
  </si>
  <si>
    <t>other_2_cost_ecm_est_savings_value</t>
  </si>
  <si>
    <t>ECM Estimated Annual Cost Savings - Other 2 Energy ($)</t>
  </si>
  <si>
    <t>EstWaterSavingsAmt</t>
  </si>
  <si>
    <t>ECM Estimated annual cost savings - Water use ($)</t>
  </si>
  <si>
    <t>Estimated annual cost savings from reduction of water use for the ECM ($).</t>
  </si>
  <si>
    <t>AC8 through AC&lt;n&gt;</t>
  </si>
  <si>
    <t>ECM Estim. annual cost savings - Water use</t>
  </si>
  <si>
    <t>Estimated annual cost savings - Water use ($)</t>
  </si>
  <si>
    <t>water_cost_ecm_est_savings</t>
  </si>
  <si>
    <t>ECM Estimated Annual Cost Savings - Water Use ($)</t>
  </si>
  <si>
    <t>EstAvoidedOMCostAmt</t>
  </si>
  <si>
    <t>ECM Estimated annual savings - Avoided O&amp;M costs ($)</t>
  </si>
  <si>
    <t>Estimated annual cost savings from avoided O&amp;M costs for the ECM ($).</t>
  </si>
  <si>
    <t>AF8 through AF&lt;n&gt;</t>
  </si>
  <si>
    <t>Proj. Estim. annual cost savings - Avoided O&amp;M</t>
  </si>
  <si>
    <t>Estimated annual savings - Avoided O&amp;M costs ($)</t>
  </si>
  <si>
    <t>om_cost_ecm_est_savings</t>
  </si>
  <si>
    <t>Project Estimated Annual Cost Savings - Avoided O&amp;M ($)</t>
  </si>
  <si>
    <t>EstElecDemandSavingsKW</t>
  </si>
  <si>
    <t>ECM Estimated annual savings - Electricity demand (kW/mo)</t>
  </si>
  <si>
    <t>Estimated annual electricity demand reduction for the ECM (kW/mo).</t>
  </si>
  <si>
    <t>R8 through R&lt;n&gt;</t>
  </si>
  <si>
    <t>ECM Estim. annual savings - Electricity demand</t>
  </si>
  <si>
    <t>Estimated annual savings - Electricity demand (kW/mo)</t>
  </si>
  <si>
    <t>elec_demand_energy_ecm_est_savings_value</t>
  </si>
  <si>
    <t>ECM Estimated Annual Savings - Electricity Demand (kW/mo)</t>
  </si>
  <si>
    <t>EstElecSavingsKWh</t>
  </si>
  <si>
    <t>ECM Estimated annual savings - Electricity use (kWh)</t>
  </si>
  <si>
    <t>Estimated annual electricity use reduction for the ECM (kWh).</t>
  </si>
  <si>
    <t>P8 through P&lt;n&gt;</t>
  </si>
  <si>
    <t>ECM Estim. annual savings - Electricity use</t>
  </si>
  <si>
    <t>Estimated annual savings - Electricity use (kWh)</t>
  </si>
  <si>
    <t>elec_use_energy_ecm_est_savings_value</t>
  </si>
  <si>
    <t>ECM Estimated Annual Savings - Electricity Use (kWh)</t>
  </si>
  <si>
    <t>EstNGSavingsMMBtu</t>
  </si>
  <si>
    <t>ECM Estimated annual savings - Natural gas (MMBtu)</t>
  </si>
  <si>
    <t>Estimated annual natural gas usage reduction for the ECM (MMBtu).</t>
  </si>
  <si>
    <t>T8 through T&lt;n&gt;</t>
  </si>
  <si>
    <t>ECM Estim. annual savings - Natural gas</t>
  </si>
  <si>
    <t>Estimated annual savings - Natural gas (MMBtu)</t>
  </si>
  <si>
    <t>ng_energy_ecm_est_savings_value</t>
  </si>
  <si>
    <t>ECM Estimated Annual Savings - Natural Gas (MMBtu)</t>
  </si>
  <si>
    <t>EstOther1EnergySavingsMMBtu</t>
  </si>
  <si>
    <t>ECM Estimated annual savings - Other 1 energy (MMBtu)</t>
  </si>
  <si>
    <t>Estimated annual savings - other type 1 energy (MMBtu).</t>
  </si>
  <si>
    <t>V8 through V&lt;n&gt;</t>
  </si>
  <si>
    <t>ECM Estim. annual savings - Other 1 energy</t>
  </si>
  <si>
    <t>Estimated annual savings - Other 1 energy type (MMBtu)</t>
  </si>
  <si>
    <t>other_1_energy_ecm_est_savings_value</t>
  </si>
  <si>
    <t>ECM Estimated Annual Savings - Other 1 Energy (MMBtu)</t>
  </si>
  <si>
    <t>30035A</t>
  </si>
  <si>
    <t>EstOther2EnergySavingsMMBtu</t>
  </si>
  <si>
    <t>ECM Estimated annual savings - Other 2 energy (MMBtu)</t>
  </si>
  <si>
    <t>Estimated annual savings - other type 2 energy (MMBtu).</t>
  </si>
  <si>
    <t>X8 through X&lt;n&gt;</t>
  </si>
  <si>
    <t>ECM Estim. annual savings - Other 2 energy</t>
  </si>
  <si>
    <t>Estimated annual savings - Other 2 energy (MMBtu)</t>
  </si>
  <si>
    <t>other_2_energy_ecm_est_savings_value</t>
  </si>
  <si>
    <t>ECM Estimated Annual Savings - Other 2 Energy (MMBtu)</t>
  </si>
  <si>
    <t>EstOtherAvoidedCostAmt</t>
  </si>
  <si>
    <t>ECM Estimated annual savings - Other avoided non energy costs ($)</t>
  </si>
  <si>
    <t>Estimated annual estimated dollar equivalent of avoided non energy costs for the ECM ($).</t>
  </si>
  <si>
    <t>AG8 through AG&lt;n&gt;</t>
  </si>
  <si>
    <t>Estim. annual cost savings - Other avoided non energy costs</t>
  </si>
  <si>
    <t>Estimated annual savings - Other avoided non energy costs ($)</t>
  </si>
  <si>
    <t>non_energy_cost_ecm_est_savings</t>
  </si>
  <si>
    <t>Estimated Annual Cost Savings - Other Avoided Non-energy Costs ($)</t>
  </si>
  <si>
    <t>EstWaterSavingsKGal</t>
  </si>
  <si>
    <t>ECM Estimated annual savings - Water use (Kgal)</t>
  </si>
  <si>
    <t>Estimated annual savings - Water use (Kgal).</t>
  </si>
  <si>
    <t>AB8 through AB&lt;n&gt;</t>
  </si>
  <si>
    <t>ECM Estim. annual savings - Water use</t>
  </si>
  <si>
    <t>Estimated annual savings - Water use (Kgal)</t>
  </si>
  <si>
    <t>water_use_ecm_est_savings_value</t>
  </si>
  <si>
    <t>ECM Estimated Annual Savings - Water Use (kGal)</t>
  </si>
  <si>
    <t>SimplePayback</t>
  </si>
  <si>
    <t>ECM Simple Payback</t>
  </si>
  <si>
    <t>Calculated field: Simple payback time (years).</t>
  </si>
  <si>
    <t>AJ8 through AJ&lt;n&gt;</t>
  </si>
  <si>
    <t>Calculated field: Simple payback time (years)</t>
  </si>
  <si>
    <t>ecm_simple_payback</t>
  </si>
  <si>
    <t>simple_payback</t>
  </si>
  <si>
    <t>EstAnnCosSaving</t>
  </si>
  <si>
    <t xml:space="preserve">ECM Total Estimated annual savings </t>
  </si>
  <si>
    <t>Estimated annual cost savings for the ECM</t>
  </si>
  <si>
    <t>AH8 through AH&lt;n&gt;</t>
  </si>
  <si>
    <t>Estimated Annual Cost Savings for the ECM ($)</t>
  </si>
  <si>
    <t>MVMethodology</t>
  </si>
  <si>
    <t>First Year M&amp;V Methodology</t>
  </si>
  <si>
    <t>Identify the M&amp;V Methodology to be used (choose from list).</t>
  </si>
  <si>
    <t>List(Option A, Option B, Option C, Option D,RCx,O&amp;M,O&amp;M and RCX,Other,Unknown)</t>
  </si>
  <si>
    <t>D8 through D&lt;n&gt;</t>
  </si>
  <si>
    <t>First Year M&amp;V Method</t>
  </si>
  <si>
    <t>Performance assurance option</t>
  </si>
  <si>
    <t>Identify the M&amp;V Methodology used (choose from list)</t>
  </si>
  <si>
    <t>ecm_mv_option</t>
  </si>
  <si>
    <t>First Year M&amp;V/PA Method</t>
  </si>
  <si>
    <t>Performance Assurance</t>
  </si>
  <si>
    <t>Identify  performance assurance</t>
  </si>
  <si>
    <t>ecm_performance_assurance</t>
  </si>
  <si>
    <t>BaselineEnergyMMBtu</t>
  </si>
  <si>
    <t>Project Baseline energy use (MMBtu)</t>
  </si>
  <si>
    <t xml:space="preserve">Calculated field: Sum of baseline energy use of all ECMs (MMBtu). </t>
  </si>
  <si>
    <t>Proj. Baseline Energy use</t>
  </si>
  <si>
    <t>Calculated field: Sum of baseline energy use of all ECMs (MMBtu).</t>
  </si>
  <si>
    <t>proj_baseline_energy_use</t>
  </si>
  <si>
    <t>OtherCostType</t>
  </si>
  <si>
    <t>Specify type of other non-energy costs</t>
  </si>
  <si>
    <t>Type of other non-energy costs (choose from list).</t>
  </si>
  <si>
    <t>List(Capital Costs, Pollution Costs, Other Costs)</t>
  </si>
  <si>
    <t>O8 through O&lt;n&gt;</t>
  </si>
  <si>
    <t>Type of other non-energy costs</t>
  </si>
  <si>
    <t>Type of other non-energy costs (choose from list)</t>
  </si>
  <si>
    <t>ecm_baseline_other_non_energy_cost_type</t>
  </si>
  <si>
    <t>baseline_other_non_energy_cost</t>
  </si>
  <si>
    <t>field_id</t>
  </si>
  <si>
    <t>baselilne-non-energy-cost-type</t>
  </si>
  <si>
    <t>baseline_other_non_energy_cost_type</t>
  </si>
  <si>
    <t>Type of Other Non-Energy Costs</t>
  </si>
  <si>
    <t>11001f</t>
  </si>
  <si>
    <t>CNotesSch5</t>
  </si>
  <si>
    <t>Custom Notes- Schedule 5</t>
  </si>
  <si>
    <t>A38</t>
  </si>
  <si>
    <t>Notes- Schedule 5</t>
  </si>
  <si>
    <t>sch5_template_notes</t>
  </si>
  <si>
    <t>10002S</t>
  </si>
  <si>
    <t>SubCabinetAgency</t>
  </si>
  <si>
    <t xml:space="preserve">Sub Agency Name/Region </t>
  </si>
  <si>
    <t>The sub agency engaging in project.</t>
  </si>
  <si>
    <t>C21</t>
  </si>
  <si>
    <t>Yes in UI</t>
  </si>
  <si>
    <t xml:space="preserve">Sub Agency Name or Region </t>
  </si>
  <si>
    <t>sub_agency_name</t>
  </si>
  <si>
    <t>10012A</t>
  </si>
  <si>
    <t>AvgAnnEnergyCons</t>
  </si>
  <si>
    <t>Average Annual Energy Consumption of Affected Buildings (MMBtu/yr)</t>
  </si>
  <si>
    <t>Average annual energy consumption of affected buildings (pre-retrofit; MMBtu/year)</t>
  </si>
  <si>
    <t>G19</t>
  </si>
  <si>
    <t>Avg Annual Baseline Energy Consumption of Affected Buildings</t>
  </si>
  <si>
    <t>Average annual baseline (pre-retrofit) energy consumption of affected buildings (MMBtu/year)</t>
  </si>
  <si>
    <t>ann_energy_consump_mmbtu</t>
  </si>
  <si>
    <t>annual_energy_mmbtu</t>
  </si>
  <si>
    <t>Average Annual Baseline Energy Consumption of Affected Buildings</t>
  </si>
  <si>
    <t>FedContractType</t>
  </si>
  <si>
    <t>Federal Contract Type</t>
  </si>
  <si>
    <t>Type of federal contract; choose from: Department of Energy-IDIQ, U.S. Army Corps of Engineers-MATOC, UESC, Other</t>
  </si>
  <si>
    <t>C39</t>
  </si>
  <si>
    <t>Type of federal contract</t>
  </si>
  <si>
    <t>federal_contract_type</t>
  </si>
  <si>
    <t>federal-contract-type</t>
  </si>
  <si>
    <t>10019A</t>
  </si>
  <si>
    <t>FinancingInst</t>
  </si>
  <si>
    <t>Primary Financier Institution</t>
  </si>
  <si>
    <t>Name of financing institution</t>
  </si>
  <si>
    <t>C11</t>
  </si>
  <si>
    <t>financier_institution</t>
  </si>
  <si>
    <t>financier_contact_institution</t>
  </si>
  <si>
    <t>Primary Financier Organization</t>
  </si>
  <si>
    <t>10048C</t>
  </si>
  <si>
    <t>FinancingQuoteEffThru</t>
  </si>
  <si>
    <t>Financing quote effective through date</t>
  </si>
  <si>
    <t>Date after which rate quote is no longer in effect. This is relevant only once project is within days of award and contractor obtains a "rate lock" - i.e., it can be left blank in prior versions.</t>
  </si>
  <si>
    <t>C33</t>
  </si>
  <si>
    <t>Financing Quote Effective Through Date</t>
  </si>
  <si>
    <t>Date after which rate quote is no longer in effect. This is relevant only once project is within days of award and ESCO obtains a "rate lock" - i.e., it can be left blank in prior versions.</t>
  </si>
  <si>
    <t>effective_through_date</t>
  </si>
  <si>
    <t>10046A</t>
  </si>
  <si>
    <t>PaymentType</t>
  </si>
  <si>
    <t>Payment Timing (Beginning or End of Performance Year)</t>
  </si>
  <si>
    <t>Indication as to whether annual payments are made at the beginning or at the end of each performance year.</t>
  </si>
  <si>
    <t>List(Beginning, End)</t>
  </si>
  <si>
    <t>C36</t>
  </si>
  <si>
    <t>Payment Timing</t>
  </si>
  <si>
    <t>The timing of the payment made each performance year (beginning or end of the year)</t>
  </si>
  <si>
    <t>payment_timing_type</t>
  </si>
  <si>
    <t>payment_timing_type_id</t>
  </si>
  <si>
    <t>payment-timing</t>
  </si>
  <si>
    <t>10046AA</t>
  </si>
  <si>
    <t>PaymentFrqncy</t>
  </si>
  <si>
    <t>Payment Frequency (Annual, Biannual, Quarter, Month)</t>
  </si>
  <si>
    <t>Indication as to whether frequency at which the payments are made - Annual, Biannual, Quarter, Month</t>
  </si>
  <si>
    <t>List(Annual, Biannual, Quarter, Month)</t>
  </si>
  <si>
    <t>D36</t>
  </si>
  <si>
    <t>payment_timing_year</t>
  </si>
  <si>
    <t>payment_timing_year_id</t>
  </si>
  <si>
    <t>payment-frequency</t>
  </si>
  <si>
    <t>Payment Frequency</t>
  </si>
  <si>
    <t>10048B</t>
  </si>
  <si>
    <t>BondedAmt</t>
  </si>
  <si>
    <t>Performance Bond amount</t>
  </si>
  <si>
    <t>Bonded amount.</t>
  </si>
  <si>
    <t>G31</t>
  </si>
  <si>
    <t>Performance Bond Amount</t>
  </si>
  <si>
    <t>Bonded amount</t>
  </si>
  <si>
    <t>bonded_amt</t>
  </si>
  <si>
    <t>project_capitalization</t>
  </si>
  <si>
    <t>Performance Bond Amount ($)</t>
  </si>
  <si>
    <t>10063A</t>
  </si>
  <si>
    <t>FinancingConstrInterest</t>
  </si>
  <si>
    <t>Financing Procurement Price ($)-construction interest</t>
  </si>
  <si>
    <t>Includes construction finance costs during the implementation phase of the project ($).</t>
  </si>
  <si>
    <t>G27</t>
  </si>
  <si>
    <t>Why is this called procurement "price" when previous fields are called "cost" or "expense"  Is this a terminology inconsistency we should clear up?</t>
  </si>
  <si>
    <t>Financing Procurement Price - Construc. Interest</t>
  </si>
  <si>
    <t>financing_constr_interest</t>
  </si>
  <si>
    <t>procure_constr_intr</t>
  </si>
  <si>
    <t>Financing Procurement Price - Construction Interest ($)</t>
  </si>
  <si>
    <t>10063B</t>
  </si>
  <si>
    <t>FinancingOtherExpenses</t>
  </si>
  <si>
    <t>Financing Procurement Price ($)-other expenses</t>
  </si>
  <si>
    <t>Includes administrative expenses and bonding expense during the implementation phase of the project ($).</t>
  </si>
  <si>
    <t>G28</t>
  </si>
  <si>
    <t>Why is this called "price" when previous fields are called "cost" or "expense"  Is this a terminology inconsistency we should clear up?</t>
  </si>
  <si>
    <t xml:space="preserve">Financing Procurement Price - Other </t>
  </si>
  <si>
    <t>Includes administrative expenses and bonding expense during the implementation phase of the project ($)</t>
  </si>
  <si>
    <t>financing_other_expense</t>
  </si>
  <si>
    <t>procure_other</t>
  </si>
  <si>
    <t>Financing Procurement Price - Other  ($)</t>
  </si>
  <si>
    <t>ApplicableFinancialIndex</t>
  </si>
  <si>
    <t>Applicable Financial Index</t>
  </si>
  <si>
    <t>Text field to indicate financial index used in defining index rate (ex: US Treasury Note).</t>
  </si>
  <si>
    <t>C26</t>
  </si>
  <si>
    <t>Text field to indicate financial index used in defining index rate (ex: US Treasury Note)</t>
  </si>
  <si>
    <t>financing_index</t>
  </si>
  <si>
    <t>IndexRate</t>
  </si>
  <si>
    <t>Index Rate (%)</t>
  </si>
  <si>
    <t>Financing Index rate (%)</t>
  </si>
  <si>
    <t>C28</t>
  </si>
  <si>
    <t>Index Rate</t>
  </si>
  <si>
    <t>Index rate the financing is based on (%)</t>
  </si>
  <si>
    <t>index_rate</t>
  </si>
  <si>
    <t xml:space="preserve"> Index Rate (%)</t>
  </si>
  <si>
    <t>AddedPremiumPct</t>
  </si>
  <si>
    <t>Added Premium (adjusted for tax incentives)</t>
  </si>
  <si>
    <t>Premium above index rate (index + premium = project interest rate) (%).</t>
  </si>
  <si>
    <t>C29</t>
  </si>
  <si>
    <t>Changed description to add "interest" into the description: "Premium above index rate (index + premium = project interest rate) (%).</t>
  </si>
  <si>
    <t>Added Premium</t>
  </si>
  <si>
    <t>Premium above index rate (index + premium = project interest rate) (%)</t>
  </si>
  <si>
    <t>added_premium</t>
  </si>
  <si>
    <t>Added Premium (%)</t>
  </si>
  <si>
    <t>TotGrntProjSavingsAmt</t>
  </si>
  <si>
    <t xml:space="preserve">Total Guaranteed Cost Savings </t>
  </si>
  <si>
    <t>Calculated field:  Total Guaranteed dollar equivalent of resource savings for the year INCLUDING O&amp;M and other non-energy resource savings over the term of the contract ($).</t>
  </si>
  <si>
    <t>G38</t>
  </si>
  <si>
    <t>This is populated in the template by the identical field from Schedule 1 - total guaranteed savings. We put 2 fields in the data dictionary for this</t>
  </si>
  <si>
    <t>Calculated field:  Total Guaranteed dollar equivalent of resource savings for the year including O&amp;M and other non-energy resource savings over the term of the contract ($)</t>
  </si>
  <si>
    <t>11001g</t>
  </si>
  <si>
    <t>EstTotEnergySavingsMMBTU</t>
  </si>
  <si>
    <t xml:space="preserve">Annual Estimated Energy Savings (MMBtu) </t>
  </si>
  <si>
    <t>Calculated field:  Total estimated annual energy savings for all ECMs (MMBtu).</t>
  </si>
  <si>
    <t>G35</t>
  </si>
  <si>
    <t>Total Annual Estim. Energy Savings</t>
  </si>
  <si>
    <t>Calculated field:  Total of all annual energy savings for all ECMs (MMBtu)</t>
  </si>
  <si>
    <t>Total Annual Estimated Energy Savings (MMBtu)</t>
  </si>
  <si>
    <t xml:space="preserve">Annual Estimated Water Savings (kGal) </t>
  </si>
  <si>
    <t>G36</t>
  </si>
  <si>
    <t>Annual Estimated Water Savings</t>
  </si>
  <si>
    <t>"Kgal"</t>
  </si>
  <si>
    <t>Calculated field: Estimated water savings for the year (kGal)</t>
  </si>
  <si>
    <t>annual_est_water_savings</t>
  </si>
  <si>
    <t>ProjNumber</t>
  </si>
  <si>
    <t>ePB Project Number - randomly generated - alpha numeric</t>
  </si>
  <si>
    <t>ePB Project ID (automatically generated)</t>
  </si>
  <si>
    <t>ePB Project Number</t>
  </si>
  <si>
    <t>This field no longer should display to users. Mike changed it so that it creates a randomly generated alpha project ID number that is used for the project URL - for security purposes</t>
  </si>
  <si>
    <t>LastModified</t>
  </si>
  <si>
    <t>Date of last contract modification</t>
  </si>
  <si>
    <t>Last contract modification number (automatically generated)</t>
  </si>
  <si>
    <t>UI only</t>
  </si>
  <si>
    <t>Portfolio Page table</t>
  </si>
  <si>
    <t>Last modified date</t>
  </si>
  <si>
    <t>project_modified_date</t>
  </si>
  <si>
    <t>modified_date</t>
  </si>
  <si>
    <t>Last Modified Date</t>
  </si>
  <si>
    <t>MVStatus</t>
  </si>
  <si>
    <t>M&amp;V Status</t>
  </si>
  <si>
    <t>Status of the M&amp;V Report-Pending and Approved</t>
  </si>
  <si>
    <t>List (Pending, Approved)</t>
  </si>
  <si>
    <t>N/A - this displays in UI only</t>
  </si>
  <si>
    <t>System</t>
  </si>
  <si>
    <t>Portfolio Page</t>
  </si>
  <si>
    <t>mv_status</t>
  </si>
  <si>
    <t>Impact to Energy Savings (MMBtu) – ECM-level - for a given M&amp;V year</t>
  </si>
  <si>
    <t>M&amp;V single-year upload template: cells C4:C253</t>
  </si>
  <si>
    <t>M&amp;V module: ECM UI section</t>
  </si>
  <si>
    <t>Impact to Energy Savings (MMBtu)</t>
  </si>
  <si>
    <t>mv_impact_energy_ecm</t>
  </si>
  <si>
    <t>Impact to Energy Savings (MMBtu) - ECM</t>
  </si>
  <si>
    <t>Impact to Energy Savings (MMBtu) – total for all ECMs - for a given M&amp;V year</t>
  </si>
  <si>
    <t>M&amp;V single-year upload template: cell C254</t>
  </si>
  <si>
    <t>mv_impact_energy_project</t>
  </si>
  <si>
    <t>Impact to Energy Savings (MMBtu) - Project</t>
  </si>
  <si>
    <t>Impact to Cost Savings ($) – ECM-level - for a given M&amp;V year</t>
  </si>
  <si>
    <t>M&amp;V single-year upload template: cells D4:D253</t>
  </si>
  <si>
    <t>mv_impact_costsav_ecm</t>
  </si>
  <si>
    <t>Impact to Cost Savings ($) - ECM</t>
  </si>
  <si>
    <t>N/A new ePX field</t>
  </si>
  <si>
    <t>Total Contracted Price of IGA($)</t>
  </si>
  <si>
    <t>Price of investment grade audit</t>
  </si>
  <si>
    <t>IGA_price</t>
  </si>
  <si>
    <t>Yes - ePX</t>
  </si>
  <si>
    <t>ePX Summary (Dana - fill in the name of the tab this displays in)</t>
  </si>
  <si>
    <t>IGA Price</t>
  </si>
  <si>
    <t>IGA price</t>
  </si>
  <si>
    <t>iga_price</t>
  </si>
  <si>
    <t>epx_project_characteristics</t>
  </si>
  <si>
    <t>Working Days to Complete IGA</t>
  </si>
  <si>
    <t>Number of working days to complete the investment grade audit</t>
  </si>
  <si>
    <t>IGA_days</t>
  </si>
  <si>
    <t>G29</t>
  </si>
  <si>
    <t>Days to Complete IGA</t>
  </si>
  <si>
    <t>Working days to complete IGA</t>
  </si>
  <si>
    <t>working_days_to_complete_iga</t>
  </si>
  <si>
    <t>Custom notes pertaining to annual verified savings</t>
  </si>
  <si>
    <t xml:space="preserve">M&amp;V module </t>
  </si>
  <si>
    <t>M&amp;V Savings Notes</t>
  </si>
  <si>
    <t>mv_verified_notes</t>
  </si>
  <si>
    <t>Custom notes pertaining to M&amp;V savings impacts</t>
  </si>
  <si>
    <t>M&amp;V Impacts Notes</t>
  </si>
  <si>
    <t>mv_impacts_notes</t>
  </si>
  <si>
    <t>ESA Payments ($)</t>
  </si>
  <si>
    <t>ESA Payments</t>
  </si>
  <si>
    <t>Schedule-1ee, ESA project only</t>
  </si>
  <si>
    <t>esa_payments</t>
  </si>
  <si>
    <t>ESPC Payments ($)</t>
  </si>
  <si>
    <t>ESPC Payments</t>
  </si>
  <si>
    <t>espc_payments</t>
  </si>
  <si>
    <t>Total ESA Payments</t>
  </si>
  <si>
    <t>Total ESA payments ($)</t>
  </si>
  <si>
    <t>total_perf_esa_payments</t>
  </si>
  <si>
    <t>Total ESA Payments ($)</t>
  </si>
  <si>
    <t>Total ESPC Payments</t>
  </si>
  <si>
    <t>Total ESPC payments ($)</t>
  </si>
  <si>
    <t>total_perf_espc_payments</t>
  </si>
  <si>
    <t>Total ESPC Payments ($)</t>
  </si>
  <si>
    <t>Annual ESA Price ($/kWh)</t>
  </si>
  <si>
    <t>Schedule-1esa, ESA project only</t>
  </si>
  <si>
    <t>esa_price</t>
  </si>
  <si>
    <t>esa_cost_and_payments_perf_period</t>
  </si>
  <si>
    <t>Guaranteed Annual Production (kWh)</t>
  </si>
  <si>
    <t>guar_production</t>
  </si>
  <si>
    <t>ESA Payment (a)*(b)(Guaranteed)</t>
  </si>
  <si>
    <t>ESA Payment</t>
  </si>
  <si>
    <t>esa_payment</t>
  </si>
  <si>
    <t>Reserve Account for Fair Market Value (FMV) Purchase</t>
  </si>
  <si>
    <t>Reserve Account for Fair Market Value</t>
  </si>
  <si>
    <t>reserve_account</t>
  </si>
  <si>
    <t>Total Guaranteed Annual Production (kWh)</t>
  </si>
  <si>
    <t>Total Guaranteed Annual Production</t>
  </si>
  <si>
    <t>total_perf_guar_production</t>
  </si>
  <si>
    <t>esa_cost_and_payments_perf_period_totals</t>
  </si>
  <si>
    <t>Total ESA Payment</t>
  </si>
  <si>
    <t>total_perf_esa_payment</t>
  </si>
  <si>
    <t>Total Reserve Account for Fair Market Value (FMV) Purchase</t>
  </si>
  <si>
    <t>Total Reserve Account for Fair Market Value</t>
  </si>
  <si>
    <t>total_perf_reserve_account</t>
  </si>
  <si>
    <t>Year 1 ESA Price ($/kWh)</t>
  </si>
  <si>
    <t>year_1_esa_price</t>
  </si>
  <si>
    <t>esa_cost_and_payments</t>
  </si>
  <si>
    <t>Year 1 ESA Price</t>
  </si>
  <si>
    <t>Guarantee %</t>
  </si>
  <si>
    <t>guar_percentage</t>
  </si>
  <si>
    <t>Energy Degradation</t>
  </si>
  <si>
    <t>energy_degradation</t>
  </si>
  <si>
    <t>Estimated FMV at end of term</t>
  </si>
  <si>
    <t>est_fmv</t>
  </si>
  <si>
    <t>ECM ESA Option</t>
  </si>
  <si>
    <t>ESA</t>
  </si>
  <si>
    <t>ecm_esa_option_id</t>
  </si>
  <si>
    <t>ecm_esa_option</t>
  </si>
  <si>
    <t>M&amp;V Version</t>
  </si>
  <si>
    <t>List (FEMP 2.2,FEMP 3.0,FEMP 4.0,IPMVP,Other)</t>
  </si>
  <si>
    <t>mv_version</t>
  </si>
  <si>
    <t>Customer Self or Virtual Witnessed?</t>
  </si>
  <si>
    <t>List (Yes,No)</t>
  </si>
  <si>
    <t>M&amp;V Template/Module</t>
  </si>
  <si>
    <t>Witnessing F5-F255</t>
  </si>
  <si>
    <t>Witnessing</t>
  </si>
  <si>
    <t>mv_self_witness</t>
  </si>
  <si>
    <t>Witnessing Notes</t>
  </si>
  <si>
    <t>Witnesing G5-G255</t>
  </si>
  <si>
    <t>mv_witness_notes</t>
  </si>
  <si>
    <t>O&amp;M Source Savings Description</t>
  </si>
  <si>
    <t>Verified Savings AI8-AI257</t>
  </si>
  <si>
    <t>Verified Savings</t>
  </si>
  <si>
    <t>mv_om_source</t>
  </si>
  <si>
    <t>mv_ecm_other</t>
  </si>
  <si>
    <t>O&amp;M Documentation Provided</t>
  </si>
  <si>
    <t>Binary checkbox</t>
  </si>
  <si>
    <t>mv_om_documented</t>
  </si>
  <si>
    <t>O&amp;M Documentation Location</t>
  </si>
  <si>
    <t>NO</t>
  </si>
  <si>
    <t>mv_om_location</t>
  </si>
  <si>
    <t xml:space="preserve">I have reviewed and approve of the O&amp;M savings documentation. </t>
  </si>
  <si>
    <t>Confirmation that O&amp;M savings documentation was reviewed/approved.</t>
  </si>
  <si>
    <t>mv_om_approved</t>
  </si>
  <si>
    <t>Confirmation that ECMs were self or virtual witnessed.</t>
  </si>
  <si>
    <t>mv_ecm_witnessed</t>
  </si>
  <si>
    <t>Commissioning/Retro-commissioning Performed Date</t>
  </si>
  <si>
    <t>Date</t>
  </si>
  <si>
    <t>Commissioning/Retro-commissioning Performed</t>
  </si>
  <si>
    <t>mv_cx_performed</t>
  </si>
  <si>
    <t>Operations Performed Date</t>
  </si>
  <si>
    <t>Operations Performed</t>
  </si>
  <si>
    <t>mv_ops_performed</t>
  </si>
  <si>
    <t>Maintenance Performed Date</t>
  </si>
  <si>
    <t>Maintenance Performed</t>
  </si>
  <si>
    <t>mv_maint_performed</t>
  </si>
  <si>
    <t>ECM Notes</t>
  </si>
  <si>
    <t>mv_ecm_notes</t>
  </si>
  <si>
    <t>Project Type: eProject Builder or eProject eXpress</t>
  </si>
  <si>
    <t>List (eProject Builder,eProject eXpress)</t>
  </si>
  <si>
    <t>Portfolio</t>
  </si>
  <si>
    <t>The project type is assigned when the project is initiated; user chooses from dropdown menu: eProject Builder or eProject eXpress</t>
  </si>
  <si>
    <t>Project Type</t>
  </si>
  <si>
    <t>project_type</t>
  </si>
  <si>
    <t>UESC Contract Type</t>
  </si>
  <si>
    <t>Type of UESC contract</t>
  </si>
  <si>
    <t>List (GSA Areawide, Basic Ordering Agreement, Standalone Contract)</t>
  </si>
  <si>
    <t>N/A - it is entered via project initiation, not the template</t>
  </si>
  <si>
    <t>uesc_contract_type</t>
  </si>
  <si>
    <t>Project Characteristics</t>
  </si>
  <si>
    <t>The UESC contract type is assigned when the project is initiated; after use chooses "Federal" market segment and "UESC" under "Federal Contract Type" another window in project initiation pops up "UESC Contract Type" and user chooses from dropdown menu: GSA Areawide, Basic Ordering Agreement, Standalone Contract</t>
  </si>
  <si>
    <t>N/A - New field</t>
  </si>
  <si>
    <t>User-selected eGrid region</t>
  </si>
  <si>
    <t>List (List: ASCC Alaska Grid, ASCC Miscellaneous, WECC Southwest,WECC California,ERCOT All,FRCC All,HICC Miscellaneous,HICC Oahu, MRO East,MRO West,NPCC New England,WECC Northwest,NPCC NYC/Westchester,NPCC Long Island,NPCC Upstate NY,Puerto Rico Miscellaneous,RFC East,RFC Michigan,RFC West,WECC Rockies,SPP North,SPP South,SERC Mississippi Valley,SERC Midwest,SERC South,SERC Tennessee Valley,SERC Virginia/Carolina,U.S. Default</t>
  </si>
  <si>
    <t>Schedule-4g</t>
  </si>
  <si>
    <t>C8-C257</t>
  </si>
  <si>
    <t>"GHG Emissions" - Tab 1</t>
  </si>
  <si>
    <t>eGrid Region</t>
  </si>
  <si>
    <t>GHG</t>
  </si>
  <si>
    <t>eGrid region for ECM - User-selected</t>
  </si>
  <si>
    <t>ghg_ecm_egrid_region</t>
  </si>
  <si>
    <t>egrid_region_id</t>
  </si>
  <si>
    <t>egrid-region</t>
  </si>
  <si>
    <t>egrid_region</t>
  </si>
  <si>
    <t>Electricity emissions factor: kg CO2e/MMBtu - ECM level</t>
  </si>
  <si>
    <t>E8-E257</t>
  </si>
  <si>
    <t>ghg_electricity_kgco2e_per_mmbtu</t>
  </si>
  <si>
    <t>ecm_ghg_calc</t>
  </si>
  <si>
    <t>electric_energy</t>
  </si>
  <si>
    <t>Estimated annual electricity GHG savings (kgCO2e) - ECM level</t>
  </si>
  <si>
    <t>F8-F257</t>
  </si>
  <si>
    <t>ghg_electric_co2e_savings</t>
  </si>
  <si>
    <t>electric_ghg</t>
  </si>
  <si>
    <t>Natural gas emissions factor: kg CO2e/MMBtu - ECM level</t>
  </si>
  <si>
    <t>H8-H257</t>
  </si>
  <si>
    <t>ghg_nat_gas_kgco2e_per_mmbtu</t>
  </si>
  <si>
    <t>natural_gas</t>
  </si>
  <si>
    <t>Estimated annual natural gas GHG savings (kg CO2e) - ECM level</t>
  </si>
  <si>
    <t>I8-I257</t>
  </si>
  <si>
    <t>ghg_natural_gas_co2e_savings</t>
  </si>
  <si>
    <t>natural_gas_ghg</t>
  </si>
  <si>
    <t>Other Savings Type 1 emissions factor: kg CO2e/MMBtu - ECM level</t>
  </si>
  <si>
    <t>K8-K257</t>
  </si>
  <si>
    <t>ghg_other_1_kgco2e_per_mmbtu</t>
  </si>
  <si>
    <t>ghg_other_savings_type_1_mmbtu</t>
  </si>
  <si>
    <t>Estimated annual GHG savings for Other Savings Type 1  (kg CO2e) - ECM level</t>
  </si>
  <si>
    <t>L8-L257</t>
  </si>
  <si>
    <t>ghg_other_1_co2e_savings</t>
  </si>
  <si>
    <t>other_savings_type_1_kg_co2e</t>
  </si>
  <si>
    <t>Other Savings Type 2 emissions factor: kg CO2e/MMBtu - ECM level</t>
  </si>
  <si>
    <t>N8-N257</t>
  </si>
  <si>
    <t>ghg_other_2_kgco2e_per_mmbtu</t>
  </si>
  <si>
    <t xml:space="preserve">ghg_other_savings_type_2_mmbtu </t>
  </si>
  <si>
    <t>Estimated annual GHG savings for Other Savings Type 2  (kg CO2e) - ECM level</t>
  </si>
  <si>
    <t>O8-O257</t>
  </si>
  <si>
    <t>ghg_other_2_co2e_savings</t>
  </si>
  <si>
    <t xml:space="preserve">other_savings_type_2_kg_co2e </t>
  </si>
  <si>
    <t>Estimated Annual Scope 1 CO2e Reductions (kg CO2e) - ECM level</t>
  </si>
  <si>
    <t>P8-P257</t>
  </si>
  <si>
    <t>ghg_annual_scope1_co2e_reduc</t>
  </si>
  <si>
    <t>annual_scope_1</t>
  </si>
  <si>
    <t>Estimated #CM Annual Scope 2 CO2e Reductions (kg CO2e) - ECM level</t>
  </si>
  <si>
    <t>Q8-Q257</t>
  </si>
  <si>
    <t>ghg_annual_scope2_co2e_reduc</t>
  </si>
  <si>
    <t>Estimated Annual Total CO2e Reductions - ECM level</t>
  </si>
  <si>
    <t>R8-R257</t>
  </si>
  <si>
    <t>ghg_annual_total_co2e_reduc</t>
  </si>
  <si>
    <t>annual_scope_total</t>
  </si>
  <si>
    <t>Total Annual Electric GHG (kgCO2e) - Project Level</t>
  </si>
  <si>
    <t>This field applies to both the Calculating and Non-Calculating. In the Calculating Version - it populates automatically and cannot be overwritten. In the Non-calculating version - it populates automatically and CAN be overwritten.</t>
  </si>
  <si>
    <t>ghg_proj_tot_electric_ghg</t>
  </si>
  <si>
    <t>ecm_ghg_total</t>
  </si>
  <si>
    <t>electric_ghg_total</t>
  </si>
  <si>
    <t>kg CO2e/MMBTU - Natural Gas - Project Level</t>
  </si>
  <si>
    <t>Derived - from Schedule 4</t>
  </si>
  <si>
    <t xml:space="preserve">IMPORTANT - this field only applies to the NON-CALCULATING TEMPLATE. </t>
  </si>
  <si>
    <t>ghg_proj_tot_co2e_natural_gas</t>
  </si>
  <si>
    <t>natural_gas_total</t>
  </si>
  <si>
    <t>Natural Gas kg CO2e/MMBTU - Project Level</t>
  </si>
  <si>
    <t>kg CO2e/Mmbtu - electricity - Project Level</t>
  </si>
  <si>
    <t>E258</t>
  </si>
  <si>
    <t>ghg_proj_tot_co2e_electricity</t>
  </si>
  <si>
    <t>electric_energy_total</t>
  </si>
  <si>
    <t>Electricity kg CO2e/Mmbtu - Project Level</t>
  </si>
  <si>
    <t>Total Natural Gas GHG (kg CO2e) - Project Level</t>
  </si>
  <si>
    <t>ghg_proj_tot_co2e_natural_gas_ghg</t>
  </si>
  <si>
    <t>natural_gas_ghg_total</t>
  </si>
  <si>
    <t>kg CO2e/MMBTU - Other 1 - Project Level</t>
  </si>
  <si>
    <t>K258</t>
  </si>
  <si>
    <t>ghg_other_1_proj_kgco2e</t>
  </si>
  <si>
    <t>other_savings_type_1_kg_co2e_total</t>
  </si>
  <si>
    <t>Other 1 kg CO2e/Mmbtu - Project Level</t>
  </si>
  <si>
    <t>Annual Estimated GHG Savings for Other Savings Type 1: [Fuel Type] (kg CO2e)- Project Level</t>
  </si>
  <si>
    <t>ghg_other_1_proj_co2e_savings</t>
  </si>
  <si>
    <t xml:space="preserve">ecm_ghg_calc </t>
  </si>
  <si>
    <t>Other 2 kg CO2e/Mmbtu - Project Level</t>
  </si>
  <si>
    <t>kg CO2e/MMBTU - Other 2 - Project Level</t>
  </si>
  <si>
    <t>ghg_other_2_proj_kgco2e</t>
  </si>
  <si>
    <t>other_savings_type_2_kg_co2e_total</t>
  </si>
  <si>
    <t>Annual estimated GHG Savings for Other Savings Type 2: [Fuel Type] (kg CO2e) - Project Level</t>
  </si>
  <si>
    <t>O258</t>
  </si>
  <si>
    <t>ghg_other_2_proj_co2e_savings</t>
  </si>
  <si>
    <t>Annual Scope 1 CO2e Reductions (kg CO2e) - Project Level</t>
  </si>
  <si>
    <t>ghg_tot_proj_annual_scope1_co2e_reduc</t>
  </si>
  <si>
    <t xml:space="preserve">annual_scope_1_total </t>
  </si>
  <si>
    <t>Annual Scope 2 CO2e Reductions (kg CO2e) - Project Level</t>
  </si>
  <si>
    <t>ghg_tot_proj_annual_scope2_co2e_reduc</t>
  </si>
  <si>
    <t>annual_scope_2_total</t>
  </si>
  <si>
    <t>Annual Total CO2e Reductions - Project Level</t>
  </si>
  <si>
    <t>ghg_tot_proj_annual_total_co2e_reduc</t>
  </si>
  <si>
    <t>annual_scope_total_totals</t>
  </si>
  <si>
    <t>Annual escalation rate for wastewater/sewage (%).</t>
  </si>
  <si>
    <t>G5:C29</t>
  </si>
  <si>
    <t>Applies to both calculating and non-calculating template</t>
  </si>
  <si>
    <t>esc_rate_sewer</t>
  </si>
  <si>
    <t>Escalation Rates - Wastewater/Sewer (%)</t>
  </si>
  <si>
    <t>Annual baseline wastewater/sewage flow through for the ECM (kGal).</t>
  </si>
  <si>
    <t>Annual baseline wastewater/sewer flow through for the ECM (kGal)</t>
  </si>
  <si>
    <t>sewer_ecm_baseline_value</t>
  </si>
  <si>
    <t>ECM Baseline - Wastewater/Sewage Use (kGal)</t>
  </si>
  <si>
    <t>Calculated field: Total project baseline wastewater/sewage flow through (kGal).</t>
  </si>
  <si>
    <t>Total project baseline annual wastewater/sewer flow through (kGal)</t>
  </si>
  <si>
    <t>sewer_proj_baseline</t>
  </si>
  <si>
    <t>Baseline Wastewater/Sewage Use (kGal)</t>
  </si>
  <si>
    <t>Annual estimated wastewater/sewage flow through savings (kGal)</t>
  </si>
  <si>
    <t>Projected wastewater/sewer savings for the year for the ECM (kGal)</t>
  </si>
  <si>
    <t>sewer_use_ecm_est_savings</t>
  </si>
  <si>
    <t>ECM Estimated Annual Savings - Wastewater/Sewage Use (kGal)</t>
  </si>
  <si>
    <t>Annual estimated wastewater/sewage cost savings ($)</t>
  </si>
  <si>
    <t>Projected wastewater/sewer cost savings for the year for the ECM ($)</t>
  </si>
  <si>
    <t>sewer_cost_ecm_est_savings_value</t>
  </si>
  <si>
    <t>ECM Estimated Annual Cost Savings - Wastewater/Sewage ($)</t>
  </si>
  <si>
    <t>Total project annual estimated wastewater/sewage flow through savings (kGal)</t>
  </si>
  <si>
    <t>Total project projected wastewater/sewer savings for the year (kGal)</t>
  </si>
  <si>
    <t>sewer_use_proj_est_savings</t>
  </si>
  <si>
    <t>Estimated Project Annual Savings - Wastewater/Sewage Use (kGal)</t>
  </si>
  <si>
    <t>Total project annual estimated wastewater/sewage cost savings ($)</t>
  </si>
  <si>
    <t>Total project projected wastewater/sewer cost savings for the year ($)</t>
  </si>
  <si>
    <t>sewer_cost_proj_est_savings</t>
  </si>
  <si>
    <t>Project Estimated Annual Cost Savings - Wastewater/Sewage ($)</t>
  </si>
  <si>
    <t>A268</t>
  </si>
  <si>
    <t>Notes- Schedule 4g</t>
  </si>
  <si>
    <t>Custom Notes- Schedule 4g</t>
  </si>
  <si>
    <t>sch4g_template_notes</t>
  </si>
  <si>
    <t>Custom Notes- Schedule 1u</t>
  </si>
  <si>
    <t>A45</t>
  </si>
  <si>
    <t>Notes- Schedule 1u</t>
  </si>
  <si>
    <t>sch1u_template_notes</t>
  </si>
  <si>
    <t>Custom Notes- Schedule 1ee</t>
  </si>
  <si>
    <t>Schedule-1ee</t>
  </si>
  <si>
    <t>Notes- Schedule 1ee</t>
  </si>
  <si>
    <t>sch1ee_template_notes</t>
  </si>
  <si>
    <t>Custom Notes- Schedule 1esa</t>
  </si>
  <si>
    <t>Schedule-1esa</t>
  </si>
  <si>
    <t>A44</t>
  </si>
  <si>
    <t>Notes- Schedule 1esa</t>
  </si>
  <si>
    <t>sch1esa_template_notes</t>
  </si>
  <si>
    <t>Year N-ECM LEvel Electric GHG emissions factor - kg of CO2e per MMBtu of electric use - this emissions factor can change year to year</t>
  </si>
  <si>
    <t>M&amp;V GHG tab</t>
  </si>
  <si>
    <t xml:space="preserve">Pre-populated from project (project template Schedule 4g, cells E8:E257) but overwriteable so user can update factor if grid gets greener in future. We treat this like other M&amp;V verified savings fields that can change year to year. </t>
  </si>
  <si>
    <t>Electric kg CO2e/MMbtu</t>
  </si>
  <si>
    <t>GHG - M&amp;V</t>
  </si>
  <si>
    <t>Electric GHG emissions factor - kg CO2e/MMbtu</t>
  </si>
  <si>
    <t>mv_ghg_electric_ecm_kgco2e_per_mmbtu</t>
  </si>
  <si>
    <t>mv_ecm_ghg</t>
  </si>
  <si>
    <t>Electric kg CO2e/MMbtu - ECM Level</t>
  </si>
  <si>
    <t>Year N-Verified Annual Electric GHG Savings: kg CO2e for the measure</t>
  </si>
  <si>
    <t>Electric GHG Savings kg CO2e</t>
  </si>
  <si>
    <t>GHG savings from electric savings - kg of CO2e</t>
  </si>
  <si>
    <t>mv_ghg_electric_ecm_co2e_savings</t>
  </si>
  <si>
    <t>Electric GHG Savings kg CO2e - ECM Level</t>
  </si>
  <si>
    <t>Year N-Verified Annual Natural Gas GHG Savings: kg CO2e for the measure</t>
  </si>
  <si>
    <t>Natural Gas GHG Savings kg CO2e</t>
  </si>
  <si>
    <t>mv_ghg_ng_ecm_co2e_savings</t>
  </si>
  <si>
    <t>mv_ghg_gas_ecm_co2e_savings</t>
  </si>
  <si>
    <t>Natural Gas GHG Savings kg CO2e - ECM Level</t>
  </si>
  <si>
    <t>Year N-Verified Annual Other 1 GHG Savings: kg CO2e for the measure</t>
  </si>
  <si>
    <t>Other Savings Type 1: kg CO2e</t>
  </si>
  <si>
    <t>mv_ghg_other_1_ecm_co2e_savings</t>
  </si>
  <si>
    <t>Other Savings Type 1: kg CO2e - ECM Level</t>
  </si>
  <si>
    <t>Year N-Verified Annual Other 2 GHG Savings: kg CO2e</t>
  </si>
  <si>
    <t>Other Savings Type 2: kg CO2e</t>
  </si>
  <si>
    <t>mv_ghg_other_2_ecm_co2e_savings</t>
  </si>
  <si>
    <t>Other Savings Type 2: kg CO2e - ECM Level</t>
  </si>
  <si>
    <t>Year N-ECM Verified Annual Scope 1 CO2e Reductions (kg CO2e)</t>
  </si>
  <si>
    <t>Verified Annual Scope 1 CO2e Reductions (kg CO2e)</t>
  </si>
  <si>
    <t>mv_ghg_ecm_scope1_co2e_reduc</t>
  </si>
  <si>
    <t>Verified Annual Scope 1 CO2e Reductions (kg CO2e) - ECM Level</t>
  </si>
  <si>
    <t>Year N-ECM Verified Annual Scope 2 CO2e Reductions (kg CO2e)</t>
  </si>
  <si>
    <t>Verified Annual Scope 2 CO2e Reductions (kg CO2e)</t>
  </si>
  <si>
    <t>mv_ghg_ecm_scope2_co2e_reduc</t>
  </si>
  <si>
    <t>Verified Annual Scope 2 CO2e Reductions (kg CO2e) - ECM Level</t>
  </si>
  <si>
    <t>Year N-ECM Verified Annual Total CO2e Reductions</t>
  </si>
  <si>
    <t>Verified Annual Total CO2e Reductions</t>
  </si>
  <si>
    <t>mv_ghg_ecm_total_co2e_reduc</t>
  </si>
  <si>
    <t>Verified Annual Total CO2e Reductions - ECM Level</t>
  </si>
  <si>
    <t>Year N-Project Level Electric kg CO2e/MMbtu - this emissions factor can change year to year during the performance period</t>
  </si>
  <si>
    <t>Project Level Electric kg CO2e/MMbtu</t>
  </si>
  <si>
    <t>mv_ghg_electric_proj_kgco2e_per_mmbtu</t>
  </si>
  <si>
    <t>mv_ghg</t>
  </si>
  <si>
    <t>Electric kg CO2e/MMbtu - Project Level</t>
  </si>
  <si>
    <t>Year N-Verified Project Level Electric GHG Savings kgCO2e</t>
  </si>
  <si>
    <t>Electric GHG Savings kgCO2e</t>
  </si>
  <si>
    <t>Project Level Electric GHG Savings kgCO2e</t>
  </si>
  <si>
    <t>mv_ghg_electric_proj_co2e_savings</t>
  </si>
  <si>
    <t>Electric GHG Savings kgCO2e - Project Level</t>
  </si>
  <si>
    <t>Year N- Verified Project Level Natural Gas GHG Savings kg CO2e</t>
  </si>
  <si>
    <t>Project Level Natural Gas GHG Savings kg CO2e</t>
  </si>
  <si>
    <t>mv_ghg_ng_proj_co2e_savings</t>
  </si>
  <si>
    <t>Natural Gas GHG Savings kg CO2e - Project Level</t>
  </si>
  <si>
    <t>Year N-Verified Project Level Other Savings Type 1: kg CO2e</t>
  </si>
  <si>
    <t>Project Level Other Savings Type 1: kg CO2e</t>
  </si>
  <si>
    <t>mv_ghg_other_1_proj_co2e_savings</t>
  </si>
  <si>
    <t>Other Savings Type 1: kg CO2e - Project Level</t>
  </si>
  <si>
    <t>Project Level Other Savings Type 2: kg CO2e</t>
  </si>
  <si>
    <t>Year N-Verified Annual Other Savings Type 2: kg CO2e for the Project</t>
  </si>
  <si>
    <t>mv_ghg_other_2_proj_co2e_savings</t>
  </si>
  <si>
    <t xml:space="preserve">Year N-Verified Annual Other Savings Type 2: kg CO2e for the Project </t>
  </si>
  <si>
    <t>Verified Annual Scope 1 CO2e Reductions (kg CO2e) for the Project</t>
  </si>
  <si>
    <t>Year N-Verified Annual Scope 1 CO2e Reductions (kg CO2e) for the Project</t>
  </si>
  <si>
    <t>Project Level Verified Annual Scope 1 CO2e Reductions (kg CO2e)</t>
  </si>
  <si>
    <t>mv_ghg_proj_scope1_co2e_reduc</t>
  </si>
  <si>
    <t>Verified Annual Scope 2 CO2e Reductions (kg CO2e) for the Project</t>
  </si>
  <si>
    <t>Year N-Verified Annual Scope 2 CO2e Reductions (kg CO2e) for the Project</t>
  </si>
  <si>
    <t>Project Level Verified Annual Scope 2 CO2e Reductions (kg CO2e)</t>
  </si>
  <si>
    <t>mv_ghg_proj_scope2_co2e_reduc</t>
  </si>
  <si>
    <t>Verified Annual Total CO2e Reductions for the Project</t>
  </si>
  <si>
    <t>Year N-Verified Annual Total CO2e Reductions for the Project</t>
  </si>
  <si>
    <t>Project Level Verified Annual Total CO2e Reductions</t>
  </si>
  <si>
    <t>mv_ghg_proj_total_co2e_reduc</t>
  </si>
  <si>
    <t>Year N-Adjusted Annual Baseline Wastewater/Sewage usage (kGal) for the measure</t>
  </si>
  <si>
    <t>M&amp;V Verified Savings tab</t>
  </si>
  <si>
    <t>Year N-Adjusted Baseline Wastewater/Sewage for the measure</t>
  </si>
  <si>
    <t>ECM Baseline Wastewater/Sewage</t>
  </si>
  <si>
    <t>mv_sewer_ecm_baseline</t>
  </si>
  <si>
    <t>mv_ecm_wastewater_sewer</t>
  </si>
  <si>
    <t>Year N-Adjusted Baseline Wastewater/Sewage for the measure - ECM Level</t>
  </si>
  <si>
    <t>ECM Wastewater/Sewage Savings Verified for the Year (kGal) for the measure</t>
  </si>
  <si>
    <t>ECM Year N-Verified (Expected) Annual Wastewater/Sewage Savings (Kgal/yr)</t>
  </si>
  <si>
    <t>ECM Wastewater/Sewage Savings (Kgal/yr)</t>
  </si>
  <si>
    <t>mv_sewer_ecm_energy_savings</t>
  </si>
  <si>
    <t>Wastewater Savings Verified for the Year (kGal)</t>
  </si>
  <si>
    <t>ECM Wastewater/Sewage Cost Savings Verified for the Year ($) for the measure</t>
  </si>
  <si>
    <t>ECM Year N-Verified (Expected) Wastewater/Sewage Cost Savings ($/yr)</t>
  </si>
  <si>
    <t>ECMWastewater/Sewage Savings ($/yr)</t>
  </si>
  <si>
    <t>mv_sewer_ecm_cost_savings</t>
  </si>
  <si>
    <t>Wastewater Cost Savings Verified for the Year ($)</t>
  </si>
  <si>
    <t>Adjusted Annual Baseline Wastewater/Sewage usage for the project</t>
  </si>
  <si>
    <t>Year N-Adjusted Baseline Wastewater/Sewage for the project</t>
  </si>
  <si>
    <t>Project Level Baseline Wastewater/Sewage</t>
  </si>
  <si>
    <t>mv_sewer_proj_baseline</t>
  </si>
  <si>
    <t>mv_wastewater_sewer</t>
  </si>
  <si>
    <t>Annual Verified Wastewater/Sewage Savings (Kgal/yr) for the Project</t>
  </si>
  <si>
    <t>Year N-Verified (Expected) Wastewater/Sewage Savings (Kgal/yr) for the project</t>
  </si>
  <si>
    <t>Project Level Wastewater/Sewage Savings (Kgal/yr)</t>
  </si>
  <si>
    <t>mv_sewer_proj_energy_savings</t>
  </si>
  <si>
    <t>Annual Verified Wastewater/Sewage Cost Savings ($/yr) for the Project</t>
  </si>
  <si>
    <t>Year N-Verified (Expected) Wastewater/Sewage Cost Savings ($/yr) for the project</t>
  </si>
  <si>
    <t>Verified Project Level Wastewater/Sewage Savings ($/yr)</t>
  </si>
  <si>
    <t>mv_sewer_proj_cost_savings</t>
  </si>
  <si>
    <t>Annual Estimated Demand Savings (kW)</t>
  </si>
  <si>
    <t>Numerical</t>
  </si>
  <si>
    <t>ePX Project Template</t>
  </si>
  <si>
    <t>annual_est_demand_proj_savings</t>
  </si>
  <si>
    <t>N/A - New ePX field</t>
  </si>
  <si>
    <t>Estimated Annual CO2 Savings (tons)</t>
  </si>
  <si>
    <t>Projected Annual CO2 Savings (tons)</t>
  </si>
  <si>
    <t>annual_co2_est_savings</t>
  </si>
  <si>
    <t>project.epx_ghg_savings</t>
  </si>
  <si>
    <t>Estimated Annual CH4 Savings (tons)</t>
  </si>
  <si>
    <t>Projected Annual CH4 Savings (tons)</t>
  </si>
  <si>
    <t>annual_ch4_est_savings</t>
  </si>
  <si>
    <t>Estimated Total Annual Carbon Reduction (CO2 and CH4) (tons)</t>
  </si>
  <si>
    <t>C43</t>
  </si>
  <si>
    <t>Projected Total Annual Carbon Reduction (CO2 and CH4) (tons)</t>
  </si>
  <si>
    <t>total_annual_carbon_est_reduction</t>
  </si>
  <si>
    <t>Estimated Annual SOX Savings (tons)</t>
  </si>
  <si>
    <t>C44</t>
  </si>
  <si>
    <t>Projected Annual SOX Savings (tons)</t>
  </si>
  <si>
    <t>annual_nox_est_savings</t>
  </si>
  <si>
    <t>Estimated Annual NOX Savings (tons)</t>
  </si>
  <si>
    <t>C45</t>
  </si>
  <si>
    <t>Projected Annual NOX Savings (tons)</t>
  </si>
  <si>
    <t>annual_sox_est_savings</t>
  </si>
  <si>
    <t>Estimated Annual Other GHG Savings (tons)</t>
  </si>
  <si>
    <t>C46</t>
  </si>
  <si>
    <t>Projected Annual Other GHG Savings (tons)</t>
  </si>
  <si>
    <t>annual_other_ghg_est_savings</t>
  </si>
  <si>
    <t>Estimated Job impacts (FTE) - implementation period</t>
  </si>
  <si>
    <t>Projected Job impacts - implementation period</t>
  </si>
  <si>
    <t>est_job_impacts_imp</t>
  </si>
  <si>
    <t>Estimated Job Impacts (FTE) - performance period</t>
  </si>
  <si>
    <t>Estimated Job Impacts - performance period</t>
  </si>
  <si>
    <t>est_job_impacts_perf</t>
  </si>
  <si>
    <t>Average Annual electricity cost ($) of affected buildings</t>
  </si>
  <si>
    <t>Average annual electricity cost ($) prior to project</t>
  </si>
  <si>
    <t>elec_avg_annual_cost</t>
  </si>
  <si>
    <t>Average Annual Natural Gas cost ($) of affected buildings</t>
  </si>
  <si>
    <t>Average annual natural cas cost ($) prior to project</t>
  </si>
  <si>
    <t>nat_gas_avg_annual_cost</t>
  </si>
  <si>
    <t>Average Annual Other1 Cost ($) of affected buildings</t>
  </si>
  <si>
    <t>G25</t>
  </si>
  <si>
    <t>Average Annual Other1 Energy Type Cost ($) prior to project</t>
  </si>
  <si>
    <t>other1_avg_annual_cost</t>
  </si>
  <si>
    <t>Average Annual Other2 Cost ($) of affected buildings</t>
  </si>
  <si>
    <t>Average Annual Other2 Energy Type Cost ($) prior to project</t>
  </si>
  <si>
    <t>other2_avg_annual_cost</t>
  </si>
  <si>
    <t>Average Annual Water Cost ($) of affected buildings</t>
  </si>
  <si>
    <t>Average Annual Water Cost ($) prior to project</t>
  </si>
  <si>
    <t>water_avg_annual_cost</t>
  </si>
  <si>
    <t>Other Non-Facility Measures - Description</t>
  </si>
  <si>
    <t>E45</t>
  </si>
  <si>
    <t>non_facility_measures</t>
  </si>
  <si>
    <t>G43</t>
  </si>
  <si>
    <t>end_date_of_performance_period</t>
  </si>
  <si>
    <t>calc.project_capitalization_calc</t>
  </si>
  <si>
    <t>ePX - Year N-Guaranteed Annual Cost Savings ($)</t>
  </si>
  <si>
    <t>Guaranteed Annual Cost Savings</t>
  </si>
  <si>
    <t>G53</t>
  </si>
  <si>
    <t>Guaranteed Project Cost Savings for the Year</t>
  </si>
  <si>
    <t>Guaranteed Annual Project Cost Savings for the Year</t>
  </si>
  <si>
    <t>epx_guaranteed_cost_savings</t>
  </si>
  <si>
    <t>Guaranteed Annual Project Cost Savings</t>
  </si>
  <si>
    <t>ESPC Campaign Participant for ePX</t>
  </si>
  <si>
    <t>ESPC Campaign Participant</t>
  </si>
  <si>
    <t>create new project modal</t>
  </si>
  <si>
    <t>espc_campaign_participant</t>
  </si>
  <si>
    <t>epx_project_other</t>
  </si>
  <si>
    <t>project.espc_campaign_participant_option</t>
  </si>
  <si>
    <t>CampaignPartic</t>
  </si>
  <si>
    <t>N/A - New ePB field</t>
  </si>
  <si>
    <t>ESPC Campagin Participant for ePB</t>
  </si>
  <si>
    <t>List (Yes, No)</t>
  </si>
  <si>
    <t>epb_espc_campaign_participant</t>
  </si>
  <si>
    <t>project.project.id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</si>
</sst>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8" x14ac:knownFonts="1">
    <font>
      <sz val="11"/>
      <color theme="1"/>
      <name val="Calibri"/>
      <family val="2"/>
      <scheme val="minor"/>
    </font>
    <font>
      <sz val="11"/>
      <color rgb="FF000000"/>
      <name val="Calibri"/>
      <family val="2"/>
    </font>
    <font>
      <sz val="11"/>
      <color rgb="FF85200c"/>
      <name val="Calibri"/>
      <family val="2"/>
    </font>
    <font>
      <sz val="11"/>
      <color rgb="FF000000"/>
      <name val="Times New Roman"/>
      <family val="2"/>
    </font>
    <font>
      <sz val="11"/>
      <color theme="1"/>
      <name val="Calibri"/>
      <family val="2"/>
    </font>
    <font>
      <sz val="12"/>
      <color rgb="FF000000"/>
      <name val="Times New Roman"/>
      <family val="2"/>
    </font>
    <font>
      <b/>
      <sz val="11"/>
      <color rgb="FF000000"/>
      <name val="Calibri"/>
      <family val="2"/>
    </font>
    <font>
      <b/>
      <sz val="11"/>
      <color rgb="FFff0000"/>
      <name val="Calibri"/>
      <family val="2"/>
    </font>
    <font>
      <b/>
      <sz val="11"/>
      <color rgb="FF741b47"/>
      <name val="Calibri"/>
      <family val="2"/>
    </font>
    <font>
      <b/>
      <sz val="11"/>
      <color rgb="FF9900ff"/>
      <name val="Calibri"/>
      <family val="2"/>
    </font>
    <font>
      <sz val="11"/>
      <color rgb="FFff0000"/>
      <name val="Calibri"/>
      <family val="2"/>
    </font>
    <font>
      <sz val="11"/>
      <color rgb="FF741b47"/>
      <name val="Calibri"/>
      <family val="2"/>
    </font>
    <font>
      <sz val="11"/>
      <color rgb="FF9900ff"/>
      <name val="Calibri"/>
      <family val="2"/>
    </font>
    <font>
      <sz val="11"/>
      <color rgb="FF0000ff"/>
      <name val="Calibri"/>
      <family val="2"/>
    </font>
    <font>
      <i/>
      <sz val="11"/>
      <color rgb="FF0000ff"/>
      <name val="Calibri"/>
      <family val="2"/>
    </font>
    <font>
      <i/>
      <sz val="11"/>
      <color rgb="FF000000"/>
      <name val="Calibri"/>
      <family val="2"/>
    </font>
    <font>
      <sz val="11"/>
      <color rgb="FF0b5394"/>
      <name val="Calibri"/>
      <family val="2"/>
    </font>
    <font>
      <sz val="11"/>
      <color rgb="FF222222"/>
      <name val="Calibri"/>
      <family val="2"/>
    </font>
    <font>
      <sz val="11"/>
      <color rgb="FF974706"/>
      <name val="Calibri"/>
      <family val="2"/>
    </font>
    <font>
      <sz val="11"/>
      <color rgb="FFb45f06"/>
      <name val="Calibri"/>
      <family val="2"/>
    </font>
    <font>
      <sz val="11"/>
      <color rgb="FF674ea7"/>
      <name val="Calibri"/>
      <family val="2"/>
    </font>
    <font>
      <sz val="11"/>
      <color rgb="FF000000"/>
      <name val="Docs-Calibri"/>
      <family val="2"/>
    </font>
    <font>
      <sz val="9"/>
      <color rgb="FF1f1f1f"/>
      <name val="&quot;Google Sans&quot;"/>
      <family val="2"/>
    </font>
    <font>
      <sz val="12"/>
      <color rgb="FF000000"/>
      <name val="Calibri"/>
      <family val="2"/>
    </font>
    <font>
      <sz val="12"/>
      <color rgb="FF741b47"/>
      <name val="Calibri"/>
      <family val="2"/>
    </font>
    <font>
      <sz val="9"/>
      <color rgb="FF000000"/>
      <name val="Menlo"/>
      <family val="2"/>
    </font>
    <font>
      <u/>
      <sz val="11"/>
      <color rgb="FF0000ff"/>
      <name val="Calibri"/>
      <family val="2"/>
    </font>
    <font>
      <b/>
      <sz val="11"/>
      <color rgb="FF000000"/>
      <name val="Times New Roman"/>
      <family val="2"/>
    </font>
  </fonts>
  <fills count="25">
    <fill>
      <patternFill patternType="none"/>
    </fill>
    <fill>
      <patternFill patternType="gray125"/>
    </fill>
    <fill>
      <patternFill patternType="solid">
        <fgColor rgb="FFfff2cc"/>
      </patternFill>
    </fill>
    <fill>
      <patternFill patternType="solid">
        <fgColor rgb="FFd9ead3"/>
      </patternFill>
    </fill>
    <fill>
      <patternFill patternType="solid">
        <fgColor rgb="FF999999"/>
      </patternFill>
    </fill>
    <fill>
      <patternFill patternType="solid">
        <fgColor rgb="FFcfe2f3"/>
      </patternFill>
    </fill>
    <fill>
      <patternFill patternType="solid">
        <fgColor rgb="FFffff00"/>
      </patternFill>
    </fill>
    <fill>
      <patternFill patternType="solid">
        <fgColor rgb="FFcccccc"/>
      </patternFill>
    </fill>
    <fill>
      <patternFill patternType="solid">
        <fgColor rgb="FFffffff"/>
      </patternFill>
    </fill>
    <fill>
      <patternFill patternType="solid">
        <fgColor rgb="FFff00ff"/>
      </patternFill>
    </fill>
    <fill>
      <patternFill patternType="solid">
        <fgColor rgb="FF00ffff"/>
      </patternFill>
    </fill>
    <fill>
      <patternFill patternType="solid">
        <fgColor rgb="FF00ff00"/>
      </patternFill>
    </fill>
    <fill>
      <patternFill patternType="solid">
        <fgColor rgb="FFff9900"/>
      </patternFill>
    </fill>
    <fill>
      <patternFill patternType="solid">
        <fgColor rgb="FFf6b26b"/>
      </patternFill>
    </fill>
    <fill>
      <patternFill patternType="solid">
        <fgColor rgb="FFd5a6bd"/>
      </patternFill>
    </fill>
    <fill>
      <patternFill patternType="solid">
        <fgColor rgb="FFf4cccc"/>
      </patternFill>
    </fill>
    <fill>
      <patternFill patternType="solid">
        <fgColor rgb="FFf9cb9c"/>
      </patternFill>
    </fill>
    <fill>
      <patternFill patternType="solid">
        <fgColor rgb="FFd9d2e9"/>
      </patternFill>
    </fill>
    <fill>
      <patternFill patternType="solid">
        <fgColor rgb="FF666666"/>
      </patternFill>
    </fill>
    <fill>
      <patternFill patternType="solid">
        <fgColor rgb="FFffe599"/>
      </patternFill>
    </fill>
    <fill>
      <patternFill patternType="solid">
        <fgColor rgb="FFb4a7d6"/>
      </patternFill>
    </fill>
    <fill>
      <patternFill patternType="solid">
        <fgColor rgb="FFff0000"/>
      </patternFill>
    </fill>
    <fill>
      <patternFill patternType="solid">
        <fgColor rgb="FFf3f3f3"/>
      </patternFill>
    </fill>
    <fill>
      <patternFill patternType="solid">
        <fgColor rgb="FFefefef"/>
      </patternFill>
    </fill>
    <fill>
      <patternFill patternType="solid">
        <fgColor rgb="FFead1dc"/>
      </patternFill>
    </fill>
  </fills>
  <borders count="8">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ccccc"/>
      </left>
      <right style="thin">
        <color rgb="FFcccccc"/>
      </right>
      <top style="thin">
        <color rgb="FFc6c6c6"/>
      </top>
      <bottom style="thin">
        <color rgb="FFc6c6c6"/>
      </bottom>
      <diagonal/>
    </border>
    <border>
      <left style="thin">
        <color rgb="FFcccccc"/>
      </left>
      <right style="thin">
        <color rgb="FFcccccc"/>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3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left"/>
    </xf>
    <xf xfId="0" numFmtId="0" borderId="1" applyBorder="1" fontId="2" applyFont="1" fillId="0" applyAlignment="1">
      <alignment horizontal="left"/>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horizontal="left"/>
    </xf>
    <xf xfId="0" numFmtId="0" borderId="0" fontId="0" fillId="0" applyAlignment="1">
      <alignment wrapText="1"/>
    </xf>
    <xf xfId="0" numFmtId="0" borderId="1" applyBorder="1" fontId="3" applyFont="1" fillId="0" applyAlignment="1">
      <alignment horizontal="left" wrapText="1"/>
    </xf>
    <xf xfId="0" numFmtId="0" borderId="1" applyBorder="1" fontId="4" applyFont="1" fillId="0" applyAlignment="1">
      <alignment horizontal="left" wrapText="1"/>
    </xf>
    <xf xfId="0" numFmtId="0" borderId="1" applyBorder="1" fontId="5" applyFont="1" fillId="0" applyAlignment="1">
      <alignment horizontal="left"/>
    </xf>
    <xf xfId="0" numFmtId="0" borderId="1" applyBorder="1" fontId="6" applyFont="1" fillId="0" applyAlignment="1">
      <alignment horizontal="left"/>
    </xf>
    <xf xfId="0" numFmtId="3" applyNumberFormat="1" borderId="1" applyBorder="1" fontId="6" applyFont="1" fillId="0" applyAlignment="1">
      <alignment horizontal="center" wrapText="1"/>
    </xf>
    <xf xfId="0" numFmtId="0" borderId="1" applyBorder="1" fontId="6" applyFont="1" fillId="0" applyAlignment="1">
      <alignment horizontal="left" wrapText="1"/>
    </xf>
    <xf xfId="0" numFmtId="0" borderId="1" applyBorder="1" fontId="7" applyFont="1" fillId="0" applyAlignment="1">
      <alignment horizontal="left" wrapText="1"/>
    </xf>
    <xf xfId="0" numFmtId="0" borderId="1" applyBorder="1" fontId="8" applyFont="1" fillId="0" applyAlignment="1">
      <alignment horizontal="left" wrapText="1"/>
    </xf>
    <xf xfId="0" numFmtId="0" borderId="1" applyBorder="1" fontId="6" applyFont="1" fillId="0" applyAlignment="1">
      <alignment horizontal="center" wrapText="1"/>
    </xf>
    <xf xfId="0" numFmtId="3" applyNumberFormat="1" borderId="2" applyBorder="1" fontId="6" applyFont="1" fillId="2" applyFill="1" applyAlignment="1">
      <alignment horizontal="left" wrapText="1"/>
    </xf>
    <xf xfId="0" numFmtId="0" borderId="2" applyBorder="1" fontId="6" applyFont="1" fillId="2" applyFill="1" applyAlignment="1">
      <alignment horizontal="left" wrapText="1"/>
    </xf>
    <xf xfId="0" numFmtId="3" applyNumberFormat="1" borderId="1" applyBorder="1" fontId="1" applyFont="1" fillId="0" applyAlignment="1">
      <alignment horizontal="left" wrapText="1"/>
    </xf>
    <xf xfId="0" numFmtId="0" borderId="1" applyBorder="1" fontId="9" applyFont="1" fillId="0" applyAlignment="1">
      <alignment horizontal="left" wrapText="1"/>
    </xf>
    <xf xfId="0" numFmtId="3" applyNumberFormat="1" borderId="2" applyBorder="1" fontId="6" applyFont="1" fillId="3" applyFill="1" applyAlignment="1">
      <alignment horizontal="left" wrapText="1"/>
    </xf>
    <xf xfId="0" numFmtId="3" applyNumberFormat="1" borderId="2" applyBorder="1" fontId="6" applyFont="1" fillId="3" applyFill="1" applyAlignment="1">
      <alignment horizontal="center" wrapText="1"/>
    </xf>
    <xf xfId="0" numFmtId="0" borderId="2" applyBorder="1" fontId="6" applyFont="1" fillId="4" applyFill="1" applyAlignment="1">
      <alignment horizontal="center" wrapText="1"/>
    </xf>
    <xf xfId="0" numFmtId="3" applyNumberFormat="1" borderId="2" applyBorder="1" fontId="6" applyFont="1" fillId="5" applyFill="1" applyAlignment="1">
      <alignment horizontal="center" wrapText="1"/>
    </xf>
    <xf xfId="0" numFmtId="0" borderId="2" applyBorder="1" fontId="7" applyFont="1" fillId="6" applyFill="1" applyAlignment="1">
      <alignment horizontal="left" wrapText="1"/>
    </xf>
    <xf xfId="0" numFmtId="0" borderId="2" applyBorder="1" fontId="7" applyFont="1" fillId="7" applyFill="1" applyAlignment="1">
      <alignment horizontal="left" wrapText="1"/>
    </xf>
    <xf xfId="0" numFmtId="0" borderId="2" applyBorder="1" fontId="6" applyFont="1" fillId="8" applyFill="1" applyAlignment="1">
      <alignment horizontal="left" wrapText="1"/>
    </xf>
    <xf xfId="0" numFmtId="3" applyNumberFormat="1" borderId="2" applyBorder="1" fontId="6" applyFont="1" fillId="8" applyFill="1" applyAlignment="1">
      <alignment horizontal="center" wrapText="1"/>
    </xf>
    <xf xfId="0" numFmtId="3" applyNumberFormat="1" borderId="1" applyBorder="1" fontId="1" applyFont="1" fillId="0" applyAlignment="1">
      <alignment horizontal="center" wrapText="1"/>
    </xf>
    <xf xfId="0" numFmtId="0" borderId="1" applyBorder="1" fontId="1" applyFont="1" fillId="0" applyAlignment="1">
      <alignment horizontal="left" wrapText="1"/>
    </xf>
    <xf xfId="0" numFmtId="0" borderId="1" applyBorder="1" fontId="10" applyFont="1" fillId="0" applyAlignment="1">
      <alignment horizontal="left" wrapText="1"/>
    </xf>
    <xf xfId="0" numFmtId="0" borderId="1" applyBorder="1" fontId="11" applyFont="1" fillId="0" applyAlignment="1">
      <alignment horizontal="left"/>
    </xf>
    <xf xfId="0" numFmtId="3" applyNumberFormat="1" borderId="1" applyBorder="1" fontId="1" applyFont="1" fillId="0" applyAlignment="1">
      <alignment horizontal="right"/>
    </xf>
    <xf xfId="0" numFmtId="3" applyNumberFormat="1" borderId="1" applyBorder="1" fontId="1" applyFont="1" fillId="0" applyAlignment="1">
      <alignment horizontal="right" wrapText="1"/>
    </xf>
    <xf xfId="0" numFmtId="0" borderId="1" applyBorder="1" fontId="12" applyFont="1" fillId="0" applyAlignment="1">
      <alignment horizontal="left" wrapText="1"/>
    </xf>
    <xf xfId="0" numFmtId="3" applyNumberFormat="1" borderId="1" applyBorder="1" fontId="1" applyFont="1" fillId="0" applyAlignment="1">
      <alignment horizontal="center"/>
    </xf>
    <xf xfId="0" numFmtId="3" applyNumberFormat="1" borderId="1" applyBorder="1" fontId="1" applyFont="1" fillId="0" applyAlignment="1">
      <alignment horizontal="left"/>
    </xf>
    <xf xfId="0" numFmtId="0" borderId="2" applyBorder="1" fontId="1" applyFont="1" fillId="4" applyFill="1" applyAlignment="1">
      <alignment horizontal="center" wrapText="1"/>
    </xf>
    <xf xfId="0" numFmtId="3" applyNumberFormat="1" borderId="2" applyBorder="1" fontId="1" applyFont="1" fillId="2" applyFill="1" applyAlignment="1">
      <alignment horizontal="right"/>
    </xf>
    <xf xfId="0" numFmtId="0" borderId="2" applyBorder="1" fontId="1" applyFont="1" fillId="2" applyFill="1" applyAlignment="1">
      <alignment horizontal="left" wrapText="1"/>
    </xf>
    <xf xfId="0" numFmtId="0" borderId="2" applyBorder="1" fontId="1" applyFont="1" fillId="2" applyFill="1" applyAlignment="1">
      <alignment horizontal="left"/>
    </xf>
    <xf xfId="0" numFmtId="0" borderId="1" applyBorder="1" fontId="13" applyFont="1" fillId="0" applyAlignment="1">
      <alignment horizontal="left" wrapText="1"/>
    </xf>
    <xf xfId="0" numFmtId="3" applyNumberFormat="1" borderId="1" applyBorder="1" fontId="13" applyFont="1" fillId="0" applyAlignment="1">
      <alignment horizontal="center"/>
    </xf>
    <xf xfId="0" numFmtId="3" applyNumberFormat="1" borderId="1" applyBorder="1" fontId="13" applyFont="1" fillId="0" applyAlignment="1">
      <alignment horizontal="left"/>
    </xf>
    <xf xfId="0" numFmtId="0" borderId="2" applyBorder="1" fontId="1" applyFont="1" fillId="4" applyFill="1" applyAlignment="1">
      <alignment horizontal="center"/>
    </xf>
    <xf xfId="0" numFmtId="0" borderId="1" applyBorder="1" fontId="14" applyFont="1" fillId="0" applyAlignment="1">
      <alignment horizontal="left" wrapText="1"/>
    </xf>
    <xf xfId="0" numFmtId="0" borderId="2" applyBorder="1" fontId="1" applyFont="1" fillId="8" applyFill="1" applyAlignment="1">
      <alignment horizontal="left" wrapText="1"/>
    </xf>
    <xf xfId="0" numFmtId="3" applyNumberFormat="1" borderId="2" applyBorder="1" fontId="1" applyFont="1" fillId="8" applyFill="1" applyAlignment="1">
      <alignment horizontal="center" wrapText="1"/>
    </xf>
    <xf xfId="0" numFmtId="3" applyNumberFormat="1" borderId="2" applyBorder="1" fontId="1" applyFont="1" fillId="9" applyFill="1" applyAlignment="1">
      <alignment horizontal="center" wrapText="1"/>
    </xf>
    <xf xfId="0" numFmtId="0" borderId="2" applyBorder="1" fontId="1" applyFont="1" fillId="9" applyFill="1" applyAlignment="1">
      <alignment horizontal="left" wrapText="1"/>
    </xf>
    <xf xfId="0" numFmtId="0" borderId="2" applyBorder="1" fontId="1" applyFont="1" fillId="10" applyFill="1" applyAlignment="1">
      <alignment horizontal="left" wrapText="1"/>
    </xf>
    <xf xfId="0" numFmtId="0" borderId="1" applyBorder="1" fontId="11" applyFont="1" fillId="0" applyAlignment="1">
      <alignment horizontal="left" wrapText="1"/>
    </xf>
    <xf xfId="0" numFmtId="0" borderId="1" applyBorder="1" fontId="1" applyFont="1" fillId="0" applyAlignment="1">
      <alignment horizontal="center" wrapText="1"/>
    </xf>
    <xf xfId="0" numFmtId="0" borderId="2" applyBorder="1" fontId="1" applyFont="1" fillId="6" applyFill="1" applyAlignment="1">
      <alignment horizontal="left" wrapText="1"/>
    </xf>
    <xf xfId="0" numFmtId="0" borderId="2" applyBorder="1" fontId="14" applyFont="1" fillId="11" applyFill="1" applyAlignment="1">
      <alignment horizontal="left" wrapText="1"/>
    </xf>
    <xf xfId="0" numFmtId="0" borderId="2" applyBorder="1" fontId="1" applyFont="1" fillId="8" applyFill="1" applyAlignment="1">
      <alignment horizontal="left"/>
    </xf>
    <xf xfId="0" numFmtId="0" borderId="1" applyBorder="1" fontId="13" applyFont="1" fillId="0" applyAlignment="1">
      <alignment horizontal="left"/>
    </xf>
    <xf xfId="0" numFmtId="0" borderId="2" applyBorder="1" fontId="14" applyFont="1" fillId="6" applyFill="1" applyAlignment="1">
      <alignment horizontal="left" wrapText="1"/>
    </xf>
    <xf xfId="0" numFmtId="0" borderId="2" applyBorder="1" fontId="15" applyFont="1" fillId="8" applyFill="1" applyAlignment="1">
      <alignment horizontal="left" wrapText="1"/>
    </xf>
    <xf xfId="0" numFmtId="3" applyNumberFormat="1" borderId="2" applyBorder="1" fontId="1" applyFont="1" fillId="6" applyFill="1" applyAlignment="1">
      <alignment horizontal="center" wrapText="1"/>
    </xf>
    <xf xfId="0" numFmtId="0" borderId="2" applyBorder="1" fontId="1" applyFont="1" fillId="6" applyFill="1" applyAlignment="1">
      <alignment horizontal="left"/>
    </xf>
    <xf xfId="0" numFmtId="0" borderId="1" applyBorder="1" fontId="16" applyFont="1" fillId="0" applyAlignment="1">
      <alignment horizontal="left" wrapText="1"/>
    </xf>
    <xf xfId="0" numFmtId="3" applyNumberFormat="1" borderId="1" applyBorder="1" fontId="16" applyFont="1" fillId="0" applyAlignment="1">
      <alignment horizontal="center" wrapText="1"/>
    </xf>
    <xf xfId="0" numFmtId="0" borderId="1" applyBorder="1" fontId="16" applyFont="1" fillId="0" applyAlignment="1">
      <alignment horizontal="left"/>
    </xf>
    <xf xfId="0" numFmtId="0" borderId="1" applyBorder="1" fontId="11" applyFont="1" fillId="0" applyAlignment="1">
      <alignment horizontal="left" wrapText="1"/>
    </xf>
    <xf xfId="0" numFmtId="0" borderId="1" applyBorder="1" fontId="16" applyFont="1" fillId="0" applyAlignment="1">
      <alignment horizontal="center"/>
    </xf>
    <xf xfId="0" numFmtId="0" borderId="2" applyBorder="1" fontId="16" applyFont="1" fillId="2" applyFill="1" applyAlignment="1">
      <alignment horizontal="left" wrapText="1"/>
    </xf>
    <xf xfId="0" numFmtId="0" borderId="2" applyBorder="1" fontId="16" applyFont="1" fillId="6" applyFill="1" applyAlignment="1">
      <alignment horizontal="left" wrapText="1"/>
    </xf>
    <xf xfId="0" numFmtId="3" applyNumberFormat="1" borderId="2" applyBorder="1" fontId="16" applyFont="1" fillId="2" applyFill="1" applyAlignment="1">
      <alignment horizontal="right"/>
    </xf>
    <xf xfId="0" numFmtId="0" borderId="2" applyBorder="1" fontId="16" applyFont="1" fillId="2" applyFill="1" applyAlignment="1">
      <alignment horizontal="left"/>
    </xf>
    <xf xfId="0" numFmtId="3" applyNumberFormat="1" borderId="1" applyBorder="1" fontId="16" applyFont="1" fillId="0" applyAlignment="1">
      <alignment horizontal="right" wrapText="1"/>
    </xf>
    <xf xfId="0" numFmtId="3" applyNumberFormat="1" borderId="1" applyBorder="1" fontId="16" applyFont="1" fillId="0" applyAlignment="1">
      <alignment horizontal="center"/>
    </xf>
    <xf xfId="0" numFmtId="3" applyNumberFormat="1" borderId="1" applyBorder="1" fontId="16" applyFont="1" fillId="0" applyAlignment="1">
      <alignment horizontal="right"/>
    </xf>
    <xf xfId="0" numFmtId="3" applyNumberFormat="1" borderId="1" applyBorder="1" fontId="16" applyFont="1" fillId="0" applyAlignment="1">
      <alignment horizontal="left"/>
    </xf>
    <xf xfId="0" numFmtId="0" borderId="2" applyBorder="1" fontId="16" applyFont="1" fillId="4" applyFill="1" applyAlignment="1">
      <alignment horizontal="center"/>
    </xf>
    <xf xfId="0" numFmtId="3" applyNumberFormat="1" borderId="1" applyBorder="1" fontId="17" applyFont="1" fillId="0" applyAlignment="1">
      <alignment horizontal="center" wrapText="1"/>
    </xf>
    <xf xfId="0" numFmtId="0" borderId="1" applyBorder="1" fontId="17" applyFont="1" fillId="0" applyAlignment="1">
      <alignment horizontal="left"/>
    </xf>
    <xf xfId="0" numFmtId="0" borderId="1" applyBorder="1" fontId="17" applyFont="1" fillId="0" applyAlignment="1">
      <alignment horizontal="left" wrapText="1"/>
    </xf>
    <xf xfId="0" numFmtId="0" borderId="1" applyBorder="1" fontId="17" applyFont="1" fillId="0" applyAlignment="1">
      <alignment horizontal="center"/>
    </xf>
    <xf xfId="0" numFmtId="0" borderId="2" applyBorder="1" fontId="17" applyFont="1" fillId="6" applyFill="1" applyAlignment="1">
      <alignment horizontal="left" wrapText="1"/>
    </xf>
    <xf xfId="0" numFmtId="3" applyNumberFormat="1" borderId="2" applyBorder="1" fontId="17" applyFont="1" fillId="2" applyFill="1" applyAlignment="1">
      <alignment horizontal="right"/>
    </xf>
    <xf xfId="0" numFmtId="0" borderId="2" applyBorder="1" fontId="17" applyFont="1" fillId="2" applyFill="1" applyAlignment="1">
      <alignment horizontal="left" wrapText="1"/>
    </xf>
    <xf xfId="0" numFmtId="0" borderId="2" applyBorder="1" fontId="17" applyFont="1" fillId="2" applyFill="1" applyAlignment="1">
      <alignment horizontal="left"/>
    </xf>
    <xf xfId="0" numFmtId="3" applyNumberFormat="1" borderId="1" applyBorder="1" fontId="17" applyFont="1" fillId="0" applyAlignment="1">
      <alignment horizontal="right" wrapText="1"/>
    </xf>
    <xf xfId="0" numFmtId="3" applyNumberFormat="1" borderId="1" applyBorder="1" fontId="17" applyFont="1" fillId="0" applyAlignment="1">
      <alignment horizontal="center"/>
    </xf>
    <xf xfId="0" numFmtId="3" applyNumberFormat="1" borderId="1" applyBorder="1" fontId="17" applyFont="1" fillId="0" applyAlignment="1">
      <alignment horizontal="right"/>
    </xf>
    <xf xfId="0" numFmtId="3" applyNumberFormat="1" borderId="1" applyBorder="1" fontId="17" applyFont="1" fillId="0" applyAlignment="1">
      <alignment horizontal="left"/>
    </xf>
    <xf xfId="0" numFmtId="0" borderId="2" applyBorder="1" fontId="17" applyFont="1" fillId="4" applyFill="1" applyAlignment="1">
      <alignment horizontal="center"/>
    </xf>
    <xf xfId="0" numFmtId="3" applyNumberFormat="1" borderId="2" applyBorder="1" fontId="1" applyFont="1" fillId="10" applyFill="1" applyAlignment="1">
      <alignment horizontal="center" wrapText="1"/>
    </xf>
    <xf xfId="0" numFmtId="0" borderId="2" applyBorder="1" fontId="1" applyFont="1" fillId="10" applyFill="1" applyAlignment="1">
      <alignment horizontal="center"/>
    </xf>
    <xf xfId="0" numFmtId="0" borderId="2" applyBorder="1" fontId="1" applyFont="1" fillId="10" applyFill="1" applyAlignment="1">
      <alignment horizontal="left"/>
    </xf>
    <xf xfId="0" numFmtId="0" borderId="2" applyBorder="1" fontId="11" applyFont="1" fillId="10" applyFill="1" applyAlignment="1">
      <alignment horizontal="left"/>
    </xf>
    <xf xfId="0" numFmtId="3" applyNumberFormat="1" borderId="2" applyBorder="1" fontId="1" applyFont="1" fillId="10" applyFill="1" applyAlignment="1">
      <alignment horizontal="left"/>
    </xf>
    <xf xfId="0" numFmtId="3" applyNumberFormat="1" borderId="2" applyBorder="1" fontId="1" applyFont="1" fillId="10" applyFill="1" applyAlignment="1">
      <alignment horizontal="right" wrapText="1"/>
    </xf>
    <xf xfId="0" numFmtId="0" borderId="2" applyBorder="1" fontId="12" applyFont="1" fillId="10" applyFill="1" applyAlignment="1">
      <alignment horizontal="left" wrapText="1"/>
    </xf>
    <xf xfId="0" numFmtId="3" applyNumberFormat="1" borderId="2" applyBorder="1" fontId="1" applyFont="1" fillId="10" applyFill="1" applyAlignment="1">
      <alignment horizontal="center"/>
    </xf>
    <xf xfId="0" numFmtId="3" applyNumberFormat="1" borderId="2" applyBorder="1" fontId="1" applyFont="1" fillId="12" applyFill="1" applyAlignment="1">
      <alignment horizontal="center"/>
    </xf>
    <xf xfId="0" numFmtId="3" applyNumberFormat="1" borderId="2" applyBorder="1" fontId="1" applyFont="1" fillId="12" applyFill="1" applyAlignment="1">
      <alignment horizontal="center" wrapText="1"/>
    </xf>
    <xf xfId="0" numFmtId="0" borderId="2" applyBorder="1" fontId="1" applyFont="1" fillId="12" applyFill="1" applyAlignment="1">
      <alignment horizontal="left"/>
    </xf>
    <xf xfId="0" numFmtId="0" borderId="2" applyBorder="1" fontId="1" applyFont="1" fillId="12" applyFill="1" applyAlignment="1">
      <alignment horizontal="left" wrapText="1"/>
    </xf>
    <xf xfId="0" numFmtId="0" borderId="2" applyBorder="1" fontId="1" applyFont="1" fillId="12" applyFill="1" applyAlignment="1">
      <alignment horizontal="center"/>
    </xf>
    <xf xfId="0" numFmtId="3" applyNumberFormat="1" borderId="2" applyBorder="1" fontId="1" applyFont="1" fillId="12" applyFill="1" applyAlignment="1">
      <alignment horizontal="right"/>
    </xf>
    <xf xfId="0" numFmtId="3" applyNumberFormat="1" borderId="2" applyBorder="1" fontId="1" applyFont="1" fillId="12" applyFill="1" applyAlignment="1">
      <alignment horizontal="left"/>
    </xf>
    <xf xfId="0" numFmtId="3" applyNumberFormat="1" borderId="2" applyBorder="1" fontId="1" applyFont="1" fillId="13" applyFill="1" applyAlignment="1">
      <alignment horizontal="center" wrapText="1"/>
    </xf>
    <xf xfId="0" numFmtId="0" borderId="2" applyBorder="1" fontId="1" applyFont="1" fillId="13" applyFill="1" applyAlignment="1">
      <alignment horizontal="left"/>
    </xf>
    <xf xfId="0" numFmtId="0" borderId="2" applyBorder="1" fontId="1" applyFont="1" fillId="13" applyFill="1" applyAlignment="1">
      <alignment horizontal="left" wrapText="1"/>
    </xf>
    <xf xfId="0" numFmtId="0" borderId="2" applyBorder="1" fontId="11" applyFont="1" fillId="13" applyFill="1" applyAlignment="1">
      <alignment horizontal="left" wrapText="1"/>
    </xf>
    <xf xfId="0" numFmtId="0" borderId="2" applyBorder="1" fontId="1" applyFont="1" fillId="13" applyFill="1" applyAlignment="1">
      <alignment horizontal="center"/>
    </xf>
    <xf xfId="0" numFmtId="3" applyNumberFormat="1" borderId="2" applyBorder="1" fontId="1" applyFont="1" fillId="13" applyFill="1" applyAlignment="1">
      <alignment horizontal="right"/>
    </xf>
    <xf xfId="0" numFmtId="3" applyNumberFormat="1" borderId="2" applyBorder="1" fontId="1" applyFont="1" fillId="13" applyFill="1" applyAlignment="1">
      <alignment horizontal="right" wrapText="1"/>
    </xf>
    <xf xfId="0" numFmtId="0" borderId="2" applyBorder="1" fontId="12" applyFont="1" fillId="13" applyFill="1" applyAlignment="1">
      <alignment horizontal="left" wrapText="1"/>
    </xf>
    <xf xfId="0" numFmtId="3" applyNumberFormat="1" borderId="2" applyBorder="1" fontId="1" applyFont="1" fillId="13" applyFill="1" applyAlignment="1">
      <alignment horizontal="center"/>
    </xf>
    <xf xfId="0" numFmtId="3" applyNumberFormat="1" borderId="2" applyBorder="1" fontId="1" applyFont="1" fillId="13" applyFill="1" applyAlignment="1">
      <alignment horizontal="left"/>
    </xf>
    <xf xfId="0" numFmtId="0" borderId="2" applyBorder="1" fontId="11" applyFont="1" fillId="12" applyFill="1" applyAlignment="1">
      <alignment horizontal="left"/>
    </xf>
    <xf xfId="0" numFmtId="3" applyNumberFormat="1" borderId="2" applyBorder="1" fontId="1" applyFont="1" fillId="12" applyFill="1" applyAlignment="1">
      <alignment horizontal="right" wrapText="1"/>
    </xf>
    <xf xfId="0" numFmtId="0" borderId="2" applyBorder="1" fontId="12" applyFont="1" fillId="12" applyFill="1" applyAlignment="1">
      <alignment horizontal="left" wrapText="1"/>
    </xf>
    <xf xfId="0" numFmtId="3" applyNumberFormat="1" borderId="2" applyBorder="1" fontId="1" applyFont="1" fillId="4" applyFill="1" applyAlignment="1">
      <alignment horizontal="center" wrapText="1"/>
    </xf>
    <xf xfId="0" numFmtId="0" borderId="2" applyBorder="1" fontId="1" applyFont="1" fillId="4" applyFill="1" applyAlignment="1">
      <alignment horizontal="left"/>
    </xf>
    <xf xfId="0" numFmtId="3" applyNumberFormat="1" borderId="2" applyBorder="1" fontId="1" applyFont="1" fillId="4" applyFill="1" applyAlignment="1">
      <alignment horizontal="left"/>
    </xf>
    <xf xfId="0" numFmtId="3" applyNumberFormat="1" borderId="2" applyBorder="1" fontId="1" applyFont="1" fillId="4" applyFill="1" applyAlignment="1">
      <alignment horizontal="center"/>
    </xf>
    <xf xfId="0" numFmtId="3" applyNumberFormat="1" borderId="2" applyBorder="1" fontId="17" applyFont="1" fillId="2" applyFill="1" applyAlignment="1">
      <alignment horizontal="center" wrapText="1"/>
    </xf>
    <xf xfId="0" numFmtId="0" borderId="2" applyBorder="1" fontId="11" applyFont="1" fillId="2" applyFill="1" applyAlignment="1">
      <alignment horizontal="left" wrapText="1"/>
    </xf>
    <xf xfId="0" numFmtId="0" borderId="2" applyBorder="1" fontId="17" applyFont="1" fillId="2" applyFill="1" applyAlignment="1">
      <alignment horizontal="center"/>
    </xf>
    <xf xfId="0" numFmtId="3" applyNumberFormat="1" borderId="2" applyBorder="1" fontId="17" applyFont="1" fillId="2" applyFill="1" applyAlignment="1">
      <alignment horizontal="right" wrapText="1"/>
    </xf>
    <xf xfId="0" numFmtId="3" applyNumberFormat="1" borderId="2" applyBorder="1" fontId="17" applyFont="1" fillId="2" applyFill="1" applyAlignment="1">
      <alignment horizontal="center"/>
    </xf>
    <xf xfId="0" numFmtId="3" applyNumberFormat="1" borderId="2" applyBorder="1" fontId="17" applyFont="1" fillId="2" applyFill="1" applyAlignment="1">
      <alignment horizontal="left"/>
    </xf>
    <xf xfId="0" numFmtId="3" applyNumberFormat="1" borderId="2" applyBorder="1" fontId="1" applyFont="1" fillId="2" applyFill="1" applyAlignment="1">
      <alignment horizontal="center"/>
    </xf>
    <xf xfId="0" numFmtId="3" applyNumberFormat="1" borderId="2" applyBorder="1" fontId="1" applyFont="1" fillId="2" applyFill="1" applyAlignment="1">
      <alignment horizontal="center" wrapText="1"/>
    </xf>
    <xf xfId="0" numFmtId="0" borderId="2" applyBorder="1" fontId="18" applyFont="1" fillId="8" applyFill="1" applyAlignment="1">
      <alignment horizontal="left"/>
    </xf>
    <xf xfId="0" numFmtId="0" borderId="2" applyBorder="1" fontId="18" applyFont="1" fillId="8" applyFill="1" applyAlignment="1">
      <alignment horizontal="left" wrapText="1"/>
    </xf>
    <xf xfId="0" numFmtId="0" borderId="2" applyBorder="1" fontId="1" applyFont="1" fillId="14" applyFill="1" applyAlignment="1">
      <alignment horizontal="center"/>
    </xf>
    <xf xfId="0" numFmtId="0" borderId="2" applyBorder="1" fontId="1" applyFont="1" fillId="15" applyFill="1" applyAlignment="1">
      <alignment horizontal="left" wrapText="1"/>
    </xf>
    <xf xfId="0" numFmtId="3" applyNumberFormat="1" borderId="2" applyBorder="1" fontId="1" applyFont="1" fillId="2" applyFill="1" applyAlignment="1">
      <alignment horizontal="left"/>
    </xf>
    <xf xfId="0" numFmtId="3" applyNumberFormat="1" borderId="2" applyBorder="1" fontId="1" applyFont="1" fillId="6" applyFill="1" applyAlignment="1">
      <alignment horizontal="center"/>
    </xf>
    <xf xfId="0" numFmtId="0" borderId="2" applyBorder="1" fontId="1" applyFont="1" fillId="2" applyFill="1" applyAlignment="1">
      <alignment horizontal="center"/>
    </xf>
    <xf xfId="0" numFmtId="0" borderId="2" applyBorder="1" fontId="11" applyFont="1" fillId="2" applyFill="1" applyAlignment="1">
      <alignment horizontal="left"/>
    </xf>
    <xf xfId="0" numFmtId="3" applyNumberFormat="1" borderId="2" applyBorder="1" fontId="1" applyFont="1" fillId="2" applyFill="1" applyAlignment="1">
      <alignment horizontal="left" wrapText="1"/>
    </xf>
    <xf xfId="0" numFmtId="0" borderId="2" applyBorder="1" fontId="12" applyFont="1" fillId="2" applyFill="1" applyAlignment="1">
      <alignment horizontal="left" wrapText="1"/>
    </xf>
    <xf xfId="0" numFmtId="0" borderId="2" applyBorder="1" fontId="2" applyFont="1" fillId="2" applyFill="1" applyAlignment="1">
      <alignment horizontal="left"/>
    </xf>
    <xf xfId="0" numFmtId="3" applyNumberFormat="1" borderId="2" applyBorder="1" fontId="1" applyFont="1" fillId="12" applyFill="1" applyAlignment="1">
      <alignment horizontal="left" wrapText="1"/>
    </xf>
    <xf xfId="0" numFmtId="0" borderId="2" applyBorder="1" fontId="2" applyFont="1" fillId="12" applyFill="1" applyAlignment="1">
      <alignment horizontal="left"/>
    </xf>
    <xf xfId="0" numFmtId="3" applyNumberFormat="1" borderId="2" applyBorder="1" fontId="1" applyFont="1" fillId="16" applyFill="1" applyAlignment="1">
      <alignment horizontal="center" wrapText="1"/>
    </xf>
    <xf xfId="0" numFmtId="0" borderId="2" applyBorder="1" fontId="1" applyFont="1" fillId="16" applyFill="1" applyAlignment="1">
      <alignment horizontal="center"/>
    </xf>
    <xf xfId="0" numFmtId="0" borderId="2" applyBorder="1" fontId="1" applyFont="1" fillId="16" applyFill="1" applyAlignment="1">
      <alignment horizontal="left" wrapText="1"/>
    </xf>
    <xf xfId="0" numFmtId="0" borderId="2" applyBorder="1" fontId="1" applyFont="1" fillId="16" applyFill="1" applyAlignment="1">
      <alignment horizontal="left"/>
    </xf>
    <xf xfId="0" numFmtId="0" borderId="2" applyBorder="1" fontId="11" applyFont="1" fillId="16" applyFill="1" applyAlignment="1">
      <alignment horizontal="left"/>
    </xf>
    <xf xfId="0" numFmtId="3" applyNumberFormat="1" borderId="2" applyBorder="1" fontId="1" applyFont="1" fillId="16" applyFill="1" applyAlignment="1">
      <alignment horizontal="left"/>
    </xf>
    <xf xfId="0" numFmtId="3" applyNumberFormat="1" borderId="2" applyBorder="1" fontId="1" applyFont="1" fillId="16" applyFill="1" applyAlignment="1">
      <alignment horizontal="left" wrapText="1"/>
    </xf>
    <xf xfId="0" numFmtId="0" borderId="2" applyBorder="1" fontId="12" applyFont="1" fillId="16" applyFill="1" applyAlignment="1">
      <alignment horizontal="left" wrapText="1"/>
    </xf>
    <xf xfId="0" numFmtId="3" applyNumberFormat="1" borderId="2" applyBorder="1" fontId="1" applyFont="1" fillId="16" applyFill="1" applyAlignment="1">
      <alignment horizontal="center"/>
    </xf>
    <xf xfId="0" numFmtId="0" borderId="2" applyBorder="1" fontId="2" applyFont="1" fillId="16" applyFill="1" applyAlignment="1">
      <alignment horizontal="left"/>
    </xf>
    <xf xfId="0" numFmtId="3" applyNumberFormat="1" borderId="2" applyBorder="1" fontId="1" applyFont="1" fillId="10" applyFill="1" applyAlignment="1">
      <alignment horizontal="left" wrapText="1"/>
    </xf>
    <xf xfId="0" numFmtId="0" borderId="2" applyBorder="1" fontId="2" applyFont="1" fillId="10" applyFill="1" applyAlignment="1">
      <alignment horizontal="left"/>
    </xf>
    <xf xfId="0" numFmtId="0" borderId="2" applyBorder="1" fontId="1" applyFont="1" fillId="9" applyFill="1" applyAlignment="1">
      <alignment horizontal="left"/>
    </xf>
    <xf xfId="0" numFmtId="3" applyNumberFormat="1" borderId="2" applyBorder="1" fontId="1" applyFont="1" fillId="11" applyFill="1" applyAlignment="1">
      <alignment horizontal="center" wrapText="1"/>
    </xf>
    <xf xfId="0" numFmtId="0" borderId="2" applyBorder="1" fontId="1" applyFont="1" fillId="11" applyFill="1" applyAlignment="1">
      <alignment horizontal="left"/>
    </xf>
    <xf xfId="0" numFmtId="0" borderId="2" applyBorder="1" fontId="1" applyFont="1" fillId="11" applyFill="1" applyAlignment="1">
      <alignment horizontal="left" wrapText="1"/>
    </xf>
    <xf xfId="0" numFmtId="0" borderId="2" applyBorder="1" fontId="10" applyFont="1" fillId="11" applyFill="1" applyAlignment="1">
      <alignment horizontal="left" wrapText="1"/>
    </xf>
    <xf xfId="0" numFmtId="0" borderId="2" applyBorder="1" fontId="11" applyFont="1" fillId="11" applyFill="1" applyAlignment="1">
      <alignment horizontal="left"/>
    </xf>
    <xf xfId="0" numFmtId="0" borderId="2" applyBorder="1" fontId="1" applyFont="1" fillId="11" applyFill="1" applyAlignment="1">
      <alignment horizontal="center"/>
    </xf>
    <xf xfId="0" numFmtId="3" applyNumberFormat="1" borderId="2" applyBorder="1" fontId="1" applyFont="1" fillId="11" applyFill="1" applyAlignment="1">
      <alignment horizontal="right"/>
    </xf>
    <xf xfId="0" numFmtId="3" applyNumberFormat="1" borderId="2" applyBorder="1" fontId="1" applyFont="1" fillId="11" applyFill="1" applyAlignment="1">
      <alignment horizontal="right" wrapText="1"/>
    </xf>
    <xf xfId="0" numFmtId="0" borderId="2" applyBorder="1" fontId="12" applyFont="1" fillId="11" applyFill="1" applyAlignment="1">
      <alignment horizontal="left" wrapText="1"/>
    </xf>
    <xf xfId="0" numFmtId="3" applyNumberFormat="1" borderId="2" applyBorder="1" fontId="1" applyFont="1" fillId="11" applyFill="1" applyAlignment="1">
      <alignment horizontal="center"/>
    </xf>
    <xf xfId="0" numFmtId="3" applyNumberFormat="1" borderId="2" applyBorder="1" fontId="1" applyFont="1" fillId="11" applyFill="1" applyAlignment="1">
      <alignment horizontal="left"/>
    </xf>
    <xf xfId="0" numFmtId="0" borderId="1" applyBorder="1" fontId="19" applyFont="1" fillId="0" applyAlignment="1">
      <alignment horizontal="left"/>
    </xf>
    <xf xfId="0" numFmtId="3" applyNumberFormat="1" borderId="1" applyBorder="1" fontId="12" applyFont="1" fillId="0" applyAlignment="1">
      <alignment horizontal="center" wrapText="1"/>
    </xf>
    <xf xfId="0" numFmtId="0" borderId="1" applyBorder="1" fontId="12" applyFont="1" fillId="0" applyAlignment="1">
      <alignment horizontal="left"/>
    </xf>
    <xf xfId="0" numFmtId="0" borderId="1" applyBorder="1" fontId="12" applyFont="1" fillId="0" applyAlignment="1">
      <alignment horizontal="center"/>
    </xf>
    <xf xfId="0" numFmtId="0" borderId="2" applyBorder="1" fontId="12" applyFont="1" fillId="6" applyFill="1" applyAlignment="1">
      <alignment horizontal="left" wrapText="1"/>
    </xf>
    <xf xfId="0" numFmtId="3" applyNumberFormat="1" borderId="2" applyBorder="1" fontId="12" applyFont="1" fillId="2" applyFill="1" applyAlignment="1">
      <alignment horizontal="right"/>
    </xf>
    <xf xfId="0" numFmtId="0" borderId="2" applyBorder="1" fontId="12" applyFont="1" fillId="2" applyFill="1" applyAlignment="1">
      <alignment horizontal="left"/>
    </xf>
    <xf xfId="0" numFmtId="3" applyNumberFormat="1" borderId="1" applyBorder="1" fontId="12" applyFont="1" fillId="0" applyAlignment="1">
      <alignment horizontal="right"/>
    </xf>
    <xf xfId="0" numFmtId="3" applyNumberFormat="1" borderId="1" applyBorder="1" fontId="12" applyFont="1" fillId="0" applyAlignment="1">
      <alignment horizontal="center"/>
    </xf>
    <xf xfId="0" numFmtId="3" applyNumberFormat="1" borderId="1" applyBorder="1" fontId="12" applyFont="1" fillId="0" applyAlignment="1">
      <alignment horizontal="left"/>
    </xf>
    <xf xfId="0" numFmtId="0" borderId="2" applyBorder="1" fontId="12" applyFont="1" fillId="4" applyFill="1" applyAlignment="1">
      <alignment horizontal="center"/>
    </xf>
    <xf xfId="0" numFmtId="0" borderId="2" applyBorder="1" fontId="20" applyFont="1" fillId="5" applyFill="1" applyAlignment="1">
      <alignment horizontal="left" wrapText="1"/>
    </xf>
    <xf xfId="0" numFmtId="3" applyNumberFormat="1" borderId="1" applyBorder="1" fontId="12" applyFont="1" fillId="0" applyAlignment="1">
      <alignment horizontal="right" wrapText="1"/>
    </xf>
    <xf xfId="0" numFmtId="3" applyNumberFormat="1" borderId="1" applyBorder="1" fontId="20" applyFont="1" fillId="0" applyAlignment="1">
      <alignment horizontal="center" wrapText="1"/>
    </xf>
    <xf xfId="0" numFmtId="0" borderId="1" applyBorder="1" fontId="20" applyFont="1" fillId="0" applyAlignment="1">
      <alignment horizontal="left"/>
    </xf>
    <xf xfId="0" numFmtId="0" borderId="1" applyBorder="1" fontId="20" applyFont="1" fillId="0" applyAlignment="1">
      <alignment horizontal="left" wrapText="1"/>
    </xf>
    <xf xfId="0" numFmtId="0" borderId="1" applyBorder="1" fontId="20" applyFont="1" fillId="0" applyAlignment="1">
      <alignment horizontal="center"/>
    </xf>
    <xf xfId="0" numFmtId="3" applyNumberFormat="1" borderId="2" applyBorder="1" fontId="20" applyFont="1" fillId="2" applyFill="1" applyAlignment="1">
      <alignment horizontal="right"/>
    </xf>
    <xf xfId="0" numFmtId="0" borderId="2" applyBorder="1" fontId="20" applyFont="1" fillId="2" applyFill="1" applyAlignment="1">
      <alignment horizontal="left"/>
    </xf>
    <xf xfId="0" numFmtId="3" applyNumberFormat="1" borderId="1" applyBorder="1" fontId="20" applyFont="1" fillId="0" applyAlignment="1">
      <alignment horizontal="right" wrapText="1"/>
    </xf>
    <xf xfId="0" numFmtId="3" applyNumberFormat="1" borderId="1" applyBorder="1" fontId="20" applyFont="1" fillId="0" applyAlignment="1">
      <alignment horizontal="center"/>
    </xf>
    <xf xfId="0" numFmtId="3" applyNumberFormat="1" borderId="1" applyBorder="1" fontId="20" applyFont="1" fillId="0" applyAlignment="1">
      <alignment horizontal="left"/>
    </xf>
    <xf xfId="0" numFmtId="0" borderId="2" applyBorder="1" fontId="20" applyFont="1" fillId="4" applyFill="1" applyAlignment="1">
      <alignment horizontal="center"/>
    </xf>
    <xf xfId="0" numFmtId="0" borderId="2" applyBorder="1" fontId="1" applyFont="1" fillId="12" applyFill="1" applyAlignment="1">
      <alignment horizontal="center" wrapText="1"/>
    </xf>
    <xf xfId="0" numFmtId="0" borderId="2" applyBorder="1" fontId="1" applyFont="1" fillId="4" applyFill="1" applyAlignment="1">
      <alignment horizontal="left" wrapText="1"/>
    </xf>
    <xf xfId="0" numFmtId="0" borderId="2" applyBorder="1" fontId="11" applyFont="1" fillId="4" applyFill="1" applyAlignment="1">
      <alignment horizontal="left"/>
    </xf>
    <xf xfId="0" numFmtId="3" applyNumberFormat="1" borderId="2" applyBorder="1" fontId="1" applyFont="1" fillId="4" applyFill="1" applyAlignment="1">
      <alignment horizontal="left" wrapText="1"/>
    </xf>
    <xf xfId="0" numFmtId="0" borderId="2" applyBorder="1" fontId="12" applyFont="1" fillId="4" applyFill="1" applyAlignment="1">
      <alignment horizontal="left" wrapText="1"/>
    </xf>
    <xf xfId="0" numFmtId="3" applyNumberFormat="1" borderId="2" applyBorder="1" fontId="12" applyFont="1" fillId="11" applyFill="1" applyAlignment="1">
      <alignment horizontal="center"/>
    </xf>
    <xf xfId="0" numFmtId="0" borderId="2" applyBorder="1" fontId="10" applyFont="1" fillId="10" applyFill="1" applyAlignment="1">
      <alignment horizontal="left" wrapText="1"/>
    </xf>
    <xf xfId="0" numFmtId="3" applyNumberFormat="1" borderId="2" applyBorder="1" fontId="20" applyFont="1" fillId="5" applyFill="1" applyAlignment="1">
      <alignment horizontal="center" wrapText="1"/>
    </xf>
    <xf xfId="0" numFmtId="0" borderId="2" applyBorder="1" fontId="20" applyFont="1" fillId="5" applyFill="1" applyAlignment="1">
      <alignment horizontal="left"/>
    </xf>
    <xf xfId="0" numFmtId="0" borderId="2" applyBorder="1" fontId="11" applyFont="1" fillId="5" applyFill="1" applyAlignment="1">
      <alignment horizontal="left"/>
    </xf>
    <xf xfId="0" numFmtId="3" applyNumberFormat="1" borderId="2" applyBorder="1" fontId="20" applyFont="1" fillId="5" applyFill="1" applyAlignment="1">
      <alignment horizontal="right"/>
    </xf>
    <xf xfId="0" numFmtId="3" applyNumberFormat="1" borderId="2" applyBorder="1" fontId="20" applyFont="1" fillId="5" applyFill="1" applyAlignment="1">
      <alignment horizontal="right" wrapText="1"/>
    </xf>
    <xf xfId="0" numFmtId="0" borderId="2" applyBorder="1" fontId="12" applyFont="1" fillId="5" applyFill="1" applyAlignment="1">
      <alignment horizontal="left" wrapText="1"/>
    </xf>
    <xf xfId="0" numFmtId="0" borderId="2" applyBorder="1" fontId="20" applyFont="1" fillId="6" applyFill="1" applyAlignment="1">
      <alignment horizontal="left" wrapText="1"/>
    </xf>
    <xf xfId="0" numFmtId="0" borderId="2" applyBorder="1" fontId="14" applyFont="1" fillId="5" applyFill="1" applyAlignment="1">
      <alignment horizontal="left" wrapText="1"/>
    </xf>
    <xf xfId="0" numFmtId="3" applyNumberFormat="1" borderId="2" applyBorder="1" fontId="12" applyFont="1" fillId="5" applyFill="1" applyAlignment="1">
      <alignment horizontal="center" wrapText="1"/>
    </xf>
    <xf xfId="0" numFmtId="0" borderId="2" applyBorder="1" fontId="12" applyFont="1" fillId="5" applyFill="1" applyAlignment="1">
      <alignment horizontal="left"/>
    </xf>
    <xf xfId="0" numFmtId="3" applyNumberFormat="1" borderId="2" applyBorder="1" fontId="12" applyFont="1" fillId="5" applyFill="1" applyAlignment="1">
      <alignment horizontal="right"/>
    </xf>
    <xf xfId="0" numFmtId="3" applyNumberFormat="1" borderId="2" applyBorder="1" fontId="12" applyFont="1" fillId="5" applyFill="1" applyAlignment="1">
      <alignment horizontal="right" wrapText="1"/>
    </xf>
    <xf xfId="0" numFmtId="0" borderId="2" applyBorder="1" fontId="15" applyFont="1" fillId="11" applyFill="1" applyAlignment="1">
      <alignment horizontal="left" wrapText="1"/>
    </xf>
    <xf xfId="0" numFmtId="3" applyNumberFormat="1" borderId="2" applyBorder="1" fontId="1" applyFont="1" fillId="4" applyFill="1" applyAlignment="1">
      <alignment horizontal="right"/>
    </xf>
    <xf xfId="0" numFmtId="0" borderId="2" applyBorder="1" fontId="14" applyFont="1" fillId="4" applyFill="1" applyAlignment="1">
      <alignment horizontal="left" wrapText="1"/>
    </xf>
    <xf xfId="0" numFmtId="3" applyNumberFormat="1" borderId="3" applyBorder="1" fontId="1" applyFont="1" fillId="4" applyFill="1" applyAlignment="1">
      <alignment horizontal="left"/>
    </xf>
    <xf xfId="0" numFmtId="0" borderId="2" applyBorder="1" fontId="14" applyFont="1" fillId="12" applyFill="1" applyAlignment="1">
      <alignment horizontal="left" wrapText="1"/>
    </xf>
    <xf xfId="0" numFmtId="3" applyNumberFormat="1" borderId="4" applyBorder="1" fontId="12" applyFont="1" fillId="0" applyAlignment="1">
      <alignment horizontal="right"/>
    </xf>
    <xf xfId="0" numFmtId="0" borderId="2" applyBorder="1" fontId="1" applyFont="1" fillId="17" applyFill="1" applyAlignment="1">
      <alignment horizontal="left"/>
    </xf>
    <xf xfId="0" numFmtId="0" borderId="1" applyBorder="1" fontId="6" applyFont="1" fillId="0" applyAlignment="1">
      <alignment horizontal="center"/>
    </xf>
    <xf xfId="0" numFmtId="3" applyNumberFormat="1" borderId="4" applyBorder="1" fontId="1" applyFont="1" fillId="0" applyAlignment="1">
      <alignment horizontal="right"/>
    </xf>
    <xf xfId="0" numFmtId="0" borderId="2" applyBorder="1" fontId="11" applyFont="1" fillId="11" applyFill="1" applyAlignment="1">
      <alignment horizontal="left" wrapText="1"/>
    </xf>
    <xf xfId="0" numFmtId="0" borderId="2" applyBorder="1" fontId="16" applyFont="1" fillId="10" applyFill="1" applyAlignment="1">
      <alignment horizontal="left" wrapText="1"/>
    </xf>
    <xf xfId="0" numFmtId="0" borderId="2" applyBorder="1" fontId="11" applyFont="1" fillId="6" applyFill="1" applyAlignment="1">
      <alignment horizontal="left" wrapText="1"/>
    </xf>
    <xf xfId="0" numFmtId="0" borderId="2" applyBorder="1" fontId="1" applyFont="1" fillId="6" applyFill="1" applyAlignment="1">
      <alignment horizontal="center"/>
    </xf>
    <xf xfId="0" numFmtId="3" applyNumberFormat="1" borderId="2" applyBorder="1" fontId="1" applyFont="1" fillId="6" applyFill="1" applyAlignment="1">
      <alignment horizontal="right"/>
    </xf>
    <xf xfId="0" numFmtId="3" applyNumberFormat="1" borderId="2" applyBorder="1" fontId="1" applyFont="1" fillId="6" applyFill="1" applyAlignment="1">
      <alignment horizontal="right" wrapText="1"/>
    </xf>
    <xf xfId="0" numFmtId="3" applyNumberFormat="1" borderId="2" applyBorder="1" fontId="1" applyFont="1" fillId="6" applyFill="1" applyAlignment="1">
      <alignment horizontal="left"/>
    </xf>
    <xf xfId="0" numFmtId="3" applyNumberFormat="1" borderId="2" applyBorder="1" fontId="10" applyFont="1" fillId="11" applyFill="1" applyAlignment="1">
      <alignment horizontal="center" wrapText="1"/>
    </xf>
    <xf xfId="0" numFmtId="0" borderId="2" applyBorder="1" fontId="1" applyFont="1" fillId="11" applyFill="1" applyAlignment="1">
      <alignment horizontal="center" wrapText="1"/>
    </xf>
    <xf xfId="0" numFmtId="0" borderId="2" applyBorder="1" fontId="12" applyFont="1" fillId="11" applyFill="1" applyAlignment="1">
      <alignment horizontal="center" wrapText="1"/>
    </xf>
    <xf xfId="0" numFmtId="0" borderId="2" applyBorder="1" fontId="12" applyFont="1" fillId="4" applyFill="1" applyAlignment="1">
      <alignment horizontal="left"/>
    </xf>
    <xf xfId="0" numFmtId="3" applyNumberFormat="1" borderId="2" applyBorder="1" fontId="1" applyFont="1" fillId="8" applyFill="1" applyAlignment="1">
      <alignment horizontal="center"/>
    </xf>
    <xf xfId="0" numFmtId="0" borderId="2" applyBorder="1" fontId="10" applyFont="1" fillId="4" applyFill="1" applyAlignment="1">
      <alignment horizontal="left" wrapText="1"/>
    </xf>
    <xf xfId="0" numFmtId="0" borderId="2" applyBorder="1" fontId="12" applyFont="1" fillId="8" applyFill="1" applyAlignment="1">
      <alignment horizontal="left"/>
    </xf>
    <xf xfId="0" numFmtId="0" borderId="2" applyBorder="1" fontId="12" applyFont="1" fillId="12" applyFill="1" applyAlignment="1">
      <alignment horizontal="left"/>
    </xf>
    <xf xfId="0" numFmtId="0" borderId="2" applyBorder="1" fontId="10" applyFont="1" fillId="12" applyFill="1" applyAlignment="1">
      <alignment horizontal="left" wrapText="1"/>
    </xf>
    <xf xfId="0" numFmtId="3" applyNumberFormat="1" borderId="2" applyBorder="1" fontId="1" applyFont="1" fillId="18" applyFill="1" applyAlignment="1">
      <alignment horizontal="center" wrapText="1"/>
    </xf>
    <xf xfId="0" numFmtId="0" borderId="2" applyBorder="1" fontId="1" applyFont="1" fillId="18" applyFill="1" applyAlignment="1">
      <alignment horizontal="left"/>
    </xf>
    <xf xfId="0" numFmtId="0" borderId="2" applyBorder="1" fontId="1" applyFont="1" fillId="18" applyFill="1" applyAlignment="1">
      <alignment horizontal="left" wrapText="1"/>
    </xf>
    <xf xfId="0" numFmtId="0" borderId="2" applyBorder="1" fontId="10" applyFont="1" fillId="18" applyFill="1" applyAlignment="1">
      <alignment horizontal="left" wrapText="1"/>
    </xf>
    <xf xfId="0" numFmtId="0" borderId="2" applyBorder="1" fontId="11" applyFont="1" fillId="18" applyFill="1" applyAlignment="1">
      <alignment horizontal="left"/>
    </xf>
    <xf xfId="0" numFmtId="0" borderId="2" applyBorder="1" fontId="1" applyFont="1" fillId="18" applyFill="1" applyAlignment="1">
      <alignment horizontal="center"/>
    </xf>
    <xf xfId="0" numFmtId="3" applyNumberFormat="1" borderId="2" applyBorder="1" fontId="1" applyFont="1" fillId="18" applyFill="1" applyAlignment="1">
      <alignment horizontal="left"/>
    </xf>
    <xf xfId="0" numFmtId="3" applyNumberFormat="1" borderId="2" applyBorder="1" fontId="1" applyFont="1" fillId="18" applyFill="1" applyAlignment="1">
      <alignment horizontal="left" wrapText="1"/>
    </xf>
    <xf xfId="0" numFmtId="0" borderId="2" applyBorder="1" fontId="12" applyFont="1" fillId="18" applyFill="1" applyAlignment="1">
      <alignment horizontal="left" wrapText="1"/>
    </xf>
    <xf xfId="0" numFmtId="3" applyNumberFormat="1" borderId="2" applyBorder="1" fontId="1" applyFont="1" fillId="18" applyFill="1" applyAlignment="1">
      <alignment horizontal="center"/>
    </xf>
    <xf xfId="0" numFmtId="0" borderId="2" applyBorder="1" fontId="12" applyFont="1" fillId="19" applyFill="1" applyAlignment="1">
      <alignment horizontal="left"/>
    </xf>
    <xf xfId="0" numFmtId="3" applyNumberFormat="1" borderId="2" applyBorder="1" fontId="1" applyFont="1" fillId="10" applyFill="1" applyAlignment="1">
      <alignment horizontal="right"/>
    </xf>
    <xf xfId="0" numFmtId="0" borderId="2" applyBorder="1" fontId="1" applyFont="1" fillId="10" applyFill="1" applyAlignment="1">
      <alignment horizontal="center" wrapText="1"/>
    </xf>
    <xf xfId="0" numFmtId="0" borderId="2" applyBorder="1" fontId="10" applyFont="1" fillId="20" applyFill="1" applyAlignment="1">
      <alignment horizontal="left" wrapText="1"/>
    </xf>
    <xf xfId="0" numFmtId="0" borderId="2" applyBorder="1" fontId="1" applyFont="1" fillId="20" applyFill="1" applyAlignment="1">
      <alignment horizontal="left"/>
    </xf>
    <xf xfId="0" numFmtId="0" borderId="2" applyBorder="1" fontId="11" applyFont="1" fillId="20" applyFill="1" applyAlignment="1">
      <alignment horizontal="left"/>
    </xf>
    <xf xfId="0" numFmtId="0" borderId="2" applyBorder="1" fontId="1" applyFont="1" fillId="20" applyFill="1" applyAlignment="1">
      <alignment horizontal="center"/>
    </xf>
    <xf xfId="0" numFmtId="0" borderId="2" applyBorder="1" fontId="1" applyFont="1" fillId="20" applyFill="1" applyAlignment="1">
      <alignment horizontal="left" wrapText="1"/>
    </xf>
    <xf xfId="0" numFmtId="3" applyNumberFormat="1" borderId="2" applyBorder="1" fontId="1" applyFont="1" fillId="20" applyFill="1" applyAlignment="1">
      <alignment horizontal="right"/>
    </xf>
    <xf xfId="0" numFmtId="3" applyNumberFormat="1" borderId="2" applyBorder="1" fontId="1" applyFont="1" fillId="20" applyFill="1" applyAlignment="1">
      <alignment horizontal="right" wrapText="1"/>
    </xf>
    <xf xfId="0" numFmtId="0" borderId="2" applyBorder="1" fontId="12" applyFont="1" fillId="20" applyFill="1" applyAlignment="1">
      <alignment horizontal="left" wrapText="1"/>
    </xf>
    <xf xfId="0" numFmtId="3" applyNumberFormat="1" borderId="2" applyBorder="1" fontId="1" applyFont="1" fillId="20" applyFill="1" applyAlignment="1">
      <alignment horizontal="center" wrapText="1"/>
    </xf>
    <xf xfId="0" numFmtId="3" applyNumberFormat="1" borderId="2" applyBorder="1" fontId="1" applyFont="1" fillId="20" applyFill="1" applyAlignment="1">
      <alignment horizontal="center"/>
    </xf>
    <xf xfId="0" numFmtId="3" applyNumberFormat="1" borderId="2" applyBorder="1" fontId="1" applyFont="1" fillId="20" applyFill="1" applyAlignment="1">
      <alignment horizontal="left"/>
    </xf>
    <xf xfId="0" numFmtId="0" borderId="2" applyBorder="1" fontId="14" applyFont="1" fillId="20" applyFill="1" applyAlignment="1">
      <alignment horizontal="left" wrapText="1"/>
    </xf>
    <xf xfId="0" numFmtId="3" applyNumberFormat="1" borderId="2" applyBorder="1" fontId="12" applyFont="1" fillId="9" applyFill="1" applyAlignment="1">
      <alignment horizontal="center" wrapText="1"/>
    </xf>
    <xf xfId="0" numFmtId="0" borderId="2" applyBorder="1" fontId="12" applyFont="1" fillId="9" applyFill="1" applyAlignment="1">
      <alignment horizontal="left"/>
    </xf>
    <xf xfId="0" numFmtId="0" borderId="2" applyBorder="1" fontId="12" applyFont="1" fillId="9" applyFill="1" applyAlignment="1">
      <alignment horizontal="left" wrapText="1"/>
    </xf>
    <xf xfId="0" numFmtId="0" borderId="2" applyBorder="1" fontId="12" applyFont="1" fillId="11" applyFill="1" applyAlignment="1">
      <alignment horizontal="left"/>
    </xf>
    <xf xfId="0" numFmtId="0" borderId="2" applyBorder="1" fontId="12" applyFont="1" fillId="11" applyFill="1" applyAlignment="1">
      <alignment horizontal="center"/>
    </xf>
    <xf xfId="0" numFmtId="3" applyNumberFormat="1" borderId="2" applyBorder="1" fontId="12" applyFont="1" fillId="11" applyFill="1" applyAlignment="1">
      <alignment horizontal="right"/>
    </xf>
    <xf xfId="0" numFmtId="3" applyNumberFormat="1" borderId="2" applyBorder="1" fontId="12" applyFont="1" fillId="11" applyFill="1" applyAlignment="1">
      <alignment horizontal="right" wrapText="1"/>
    </xf>
    <xf xfId="0" numFmtId="3" applyNumberFormat="1" borderId="2" applyBorder="1" fontId="12" applyFont="1" fillId="11" applyFill="1" applyAlignment="1">
      <alignment horizontal="center" wrapText="1"/>
    </xf>
    <xf xfId="0" numFmtId="3" applyNumberFormat="1" borderId="2" applyBorder="1" fontId="12" applyFont="1" fillId="11" applyFill="1" applyAlignment="1">
      <alignment horizontal="left"/>
    </xf>
    <xf xfId="0" numFmtId="3" applyNumberFormat="1" borderId="2" applyBorder="1" fontId="1" applyFont="1" fillId="21" applyFill="1" applyAlignment="1">
      <alignment horizontal="center" wrapText="1"/>
    </xf>
    <xf xfId="0" numFmtId="0" borderId="2" applyBorder="1" fontId="14" applyFont="1" fillId="10" applyFill="1" applyAlignment="1">
      <alignment horizontal="left" wrapText="1"/>
    </xf>
    <xf xfId="0" numFmtId="0" borderId="1" applyBorder="1" fontId="1" applyFont="1" fillId="0" applyAlignment="1">
      <alignment horizontal="left" wrapText="1"/>
    </xf>
    <xf xfId="0" numFmtId="0" borderId="2" applyBorder="1" fontId="10" applyFont="1" fillId="13" applyFill="1" applyAlignment="1">
      <alignment horizontal="left" wrapText="1"/>
    </xf>
    <xf xfId="0" numFmtId="0" borderId="2" applyBorder="1" fontId="11" applyFont="1" fillId="13" applyFill="1" applyAlignment="1">
      <alignment horizontal="left"/>
    </xf>
    <xf xfId="0" numFmtId="3" applyNumberFormat="1" borderId="1" applyBorder="1" fontId="21" applyFont="1" fillId="0" applyAlignment="1">
      <alignment horizontal="center" wrapText="1"/>
    </xf>
    <xf xfId="0" numFmtId="3" applyNumberFormat="1" borderId="2" applyBorder="1" fontId="1" applyFont="1" fillId="8" applyFill="1" applyAlignment="1">
      <alignment horizontal="left"/>
    </xf>
    <xf xfId="0" numFmtId="0" borderId="2" applyBorder="1" fontId="10" applyFont="1" fillId="8" applyFill="1" applyAlignment="1">
      <alignment horizontal="left" wrapText="1"/>
    </xf>
    <xf xfId="0" numFmtId="0" borderId="2" applyBorder="1" fontId="11" applyFont="1" fillId="8" applyFill="1" applyAlignment="1">
      <alignment horizontal="left"/>
    </xf>
    <xf xfId="0" numFmtId="0" borderId="2" applyBorder="1" fontId="1" applyFont="1" fillId="8" applyFill="1" applyAlignment="1">
      <alignment horizontal="center"/>
    </xf>
    <xf xfId="0" numFmtId="3" applyNumberFormat="1" borderId="2" applyBorder="1" fontId="1" applyFont="1" fillId="8" applyFill="1" applyAlignment="1">
      <alignment horizontal="right"/>
    </xf>
    <xf xfId="0" numFmtId="3" applyNumberFormat="1" borderId="2" applyBorder="1" fontId="1" applyFont="1" fillId="8" applyFill="1" applyAlignment="1">
      <alignment horizontal="right" wrapText="1"/>
    </xf>
    <xf xfId="0" numFmtId="0" borderId="2" applyBorder="1" fontId="12" applyFont="1" fillId="8" applyFill="1" applyAlignment="1">
      <alignment horizontal="left" wrapText="1"/>
    </xf>
    <xf xfId="0" numFmtId="3" applyNumberFormat="1" borderId="2" applyBorder="1" fontId="1" applyFont="1" fillId="8" applyFill="1" applyAlignment="1">
      <alignment horizontal="left" wrapText="1"/>
    </xf>
    <xf xfId="0" numFmtId="0" borderId="5" applyBorder="1" fontId="1" applyFont="1" fillId="0" applyAlignment="1">
      <alignment horizontal="left"/>
    </xf>
    <xf xfId="0" numFmtId="0" borderId="6" applyBorder="1" fontId="1" applyFont="1" fillId="0" applyAlignment="1">
      <alignment horizontal="left"/>
    </xf>
    <xf xfId="0" numFmtId="0" borderId="2" applyBorder="1" fontId="22" applyFont="1" fillId="8" applyFill="1" applyAlignment="1">
      <alignment horizontal="left"/>
    </xf>
    <xf xfId="0" numFmtId="0" borderId="7" applyBorder="1" fontId="1" applyFont="1" fillId="0" applyAlignment="1">
      <alignment horizontal="left"/>
    </xf>
    <xf xfId="0" numFmtId="0" borderId="2" applyBorder="1" fontId="23" applyFont="1" fillId="8" applyFill="1" applyAlignment="1">
      <alignment horizontal="left"/>
    </xf>
    <xf xfId="0" numFmtId="3" applyNumberFormat="1" borderId="2" applyBorder="1" fontId="1" applyFont="1" fillId="22" applyFill="1" applyAlignment="1">
      <alignment horizontal="center"/>
    </xf>
    <xf xfId="0" numFmtId="0" borderId="2" applyBorder="1" fontId="1" applyFont="1" fillId="22" applyFill="1" applyAlignment="1">
      <alignment horizontal="center"/>
    </xf>
    <xf xfId="0" numFmtId="0" borderId="2" applyBorder="1" fontId="1" applyFont="1" fillId="22" applyFill="1" applyAlignment="1">
      <alignment horizontal="left" wrapText="1"/>
    </xf>
    <xf xfId="0" numFmtId="0" borderId="2" applyBorder="1" fontId="1" applyFont="1" fillId="22" applyFill="1" applyAlignment="1">
      <alignment horizontal="left"/>
    </xf>
    <xf xfId="0" numFmtId="0" borderId="2" applyBorder="1" fontId="11" applyFont="1" fillId="22" applyFill="1" applyAlignment="1">
      <alignment horizontal="left"/>
    </xf>
    <xf xfId="0" numFmtId="3" applyNumberFormat="1" borderId="2" applyBorder="1" fontId="1" applyFont="1" fillId="22" applyFill="1" applyAlignment="1">
      <alignment horizontal="right"/>
    </xf>
    <xf xfId="0" numFmtId="3" applyNumberFormat="1" borderId="2" applyBorder="1" fontId="1" applyFont="1" fillId="22" applyFill="1" applyAlignment="1">
      <alignment horizontal="center" wrapText="1"/>
    </xf>
    <xf xfId="0" numFmtId="3" applyNumberFormat="1" borderId="2" applyBorder="1" fontId="1" applyFont="1" fillId="22" applyFill="1" applyAlignment="1">
      <alignment horizontal="left"/>
    </xf>
    <xf xfId="0" numFmtId="0" borderId="2" applyBorder="1" fontId="1" applyFont="1" fillId="23" applyFill="1" applyAlignment="1">
      <alignment horizontal="left"/>
    </xf>
    <xf xfId="0" numFmtId="0" borderId="2" applyBorder="1" fontId="6" applyFont="1" fillId="6" applyFill="1" applyAlignment="1">
      <alignment horizontal="left" wrapText="1"/>
    </xf>
    <xf xfId="0" numFmtId="0" borderId="2" applyBorder="1" fontId="6" applyFont="1" fillId="22" applyFill="1" applyAlignment="1">
      <alignment horizontal="left" wrapText="1"/>
    </xf>
    <xf xfId="0" numFmtId="0" borderId="2" applyBorder="1" fontId="1" applyFont="1" fillId="23" applyFill="1" applyAlignment="1">
      <alignment horizontal="left" wrapText="1"/>
    </xf>
    <xf xfId="0" numFmtId="0" borderId="2" applyBorder="1" fontId="11" applyFont="1" fillId="23" applyFill="1" applyAlignment="1">
      <alignment horizontal="left"/>
    </xf>
    <xf xfId="0" numFmtId="3" applyNumberFormat="1" borderId="2" applyBorder="1" fontId="1" applyFont="1" fillId="23" applyFill="1" applyAlignment="1">
      <alignment horizontal="right"/>
    </xf>
    <xf xfId="0" numFmtId="3" applyNumberFormat="1" borderId="2" applyBorder="1" fontId="1" applyFont="1" fillId="23" applyFill="1" applyAlignment="1">
      <alignment horizontal="left"/>
    </xf>
    <xf xfId="0" numFmtId="3" applyNumberFormat="1" borderId="2" applyBorder="1" fontId="1" applyFont="1" fillId="23" applyFill="1" applyAlignment="1">
      <alignment horizontal="center"/>
    </xf>
    <xf xfId="0" numFmtId="0" borderId="2" applyBorder="1" fontId="1" applyFont="1" fillId="23" applyFill="1" applyAlignment="1">
      <alignment horizontal="center"/>
    </xf>
    <xf xfId="0" numFmtId="0" borderId="2" applyBorder="1" fontId="12" applyFont="1" fillId="6" applyFill="1" applyAlignment="1">
      <alignment horizontal="left"/>
    </xf>
    <xf xfId="0" numFmtId="0" borderId="2" applyBorder="1" fontId="2" applyFont="1" fillId="23" applyFill="1" applyAlignment="1">
      <alignment horizontal="left"/>
    </xf>
    <xf xfId="0" numFmtId="3" applyNumberFormat="1" borderId="2" applyBorder="1" fontId="1" applyFont="1" fillId="24" applyFill="1" applyAlignment="1">
      <alignment horizontal="center"/>
    </xf>
    <xf xfId="0" numFmtId="0" borderId="2" applyBorder="1" fontId="1" applyFont="1" fillId="24" applyFill="1" applyAlignment="1">
      <alignment horizontal="center"/>
    </xf>
    <xf xfId="0" numFmtId="0" borderId="2" applyBorder="1" fontId="1" applyFont="1" fillId="24" applyFill="1" applyAlignment="1">
      <alignment horizontal="left" wrapText="1"/>
    </xf>
    <xf xfId="0" numFmtId="0" borderId="2" applyBorder="1" fontId="1" applyFont="1" fillId="24" applyFill="1" applyAlignment="1">
      <alignment horizontal="left"/>
    </xf>
    <xf xfId="0" numFmtId="0" borderId="2" applyBorder="1" fontId="11" applyFont="1" fillId="24" applyFill="1" applyAlignment="1">
      <alignment horizontal="left"/>
    </xf>
    <xf xfId="0" numFmtId="3" applyNumberFormat="1" borderId="2" applyBorder="1" fontId="1" applyFont="1" fillId="24" applyFill="1" applyAlignment="1">
      <alignment horizontal="right"/>
    </xf>
    <xf xfId="0" numFmtId="3" applyNumberFormat="1" borderId="2" applyBorder="1" fontId="1" applyFont="1" fillId="24" applyFill="1" applyAlignment="1">
      <alignment horizontal="left"/>
    </xf>
    <xf xfId="0" numFmtId="0" borderId="2" applyBorder="1" fontId="12" applyFont="1" fillId="24" applyFill="1" applyAlignment="1">
      <alignment horizontal="left"/>
    </xf>
    <xf xfId="0" numFmtId="3" applyNumberFormat="1" borderId="2" applyBorder="1" fontId="1" applyFont="1" fillId="24" applyFill="1" applyAlignment="1">
      <alignment horizontal="center" wrapText="1"/>
    </xf>
    <xf xfId="0" numFmtId="0" borderId="2" applyBorder="1" fontId="24" applyFont="1" fillId="24" applyFill="1" applyAlignment="1">
      <alignment horizontal="left"/>
    </xf>
    <xf xfId="0" numFmtId="0" borderId="2" applyBorder="1" fontId="25" applyFont="1" fillId="24" applyFill="1" applyAlignment="1">
      <alignment horizontal="left"/>
    </xf>
    <xf xfId="0" numFmtId="3" applyNumberFormat="1" borderId="2" applyBorder="1" fontId="24" applyFont="1" fillId="24" applyFill="1" applyAlignment="1">
      <alignment horizontal="left"/>
    </xf>
    <xf xfId="0" numFmtId="3" applyNumberFormat="1" borderId="2" applyBorder="1" fontId="24" applyFont="1" fillId="24" applyFill="1" applyAlignment="1">
      <alignment horizontal="center"/>
    </xf>
    <xf xfId="0" numFmtId="3" applyNumberFormat="1" borderId="2" applyBorder="1" fontId="1" applyFont="1" fillId="3" applyFill="1" applyAlignment="1">
      <alignment horizontal="left" wrapText="1"/>
    </xf>
    <xf xfId="0" numFmtId="0" borderId="2" applyBorder="1" fontId="1" applyFont="1" fillId="3" applyFill="1" applyAlignment="1">
      <alignment horizontal="left" wrapText="1"/>
    </xf>
    <xf xfId="0" numFmtId="0" borderId="2" applyBorder="1" fontId="11" applyFont="1" fillId="6" applyFill="1" applyAlignment="1">
      <alignment horizontal="left"/>
    </xf>
    <xf xfId="0" numFmtId="0" borderId="1" applyBorder="1" fontId="24" applyFont="1" fillId="0" applyAlignment="1">
      <alignment horizontal="left"/>
    </xf>
    <xf xfId="0" numFmtId="0" borderId="2" applyBorder="1" fontId="26" applyFont="1" fillId="8" applyFill="1" applyAlignment="1">
      <alignment horizontal="left"/>
    </xf>
    <xf xfId="0" numFmtId="0" borderId="2" applyBorder="1" fontId="12" applyFont="1" fillId="10" applyFill="1" applyAlignment="1">
      <alignment horizontal="left"/>
    </xf>
    <xf xfId="0" numFmtId="0" borderId="2" applyBorder="1" fontId="26" applyFont="1" fillId="10" applyFill="1" applyAlignment="1">
      <alignment horizontal="left"/>
    </xf>
    <xf xfId="0" numFmtId="3" applyNumberFormat="1" borderId="2" applyBorder="1" fontId="2" applyFont="1" fillId="10" applyFill="1" applyAlignment="1">
      <alignment horizontal="right"/>
    </xf>
    <xf xfId="0" numFmtId="3" applyNumberFormat="1" borderId="2" applyBorder="1" fontId="2" applyFont="1" fillId="10" applyFill="1" applyAlignment="1">
      <alignment horizontal="left"/>
    </xf>
    <xf xfId="0" numFmtId="0" borderId="2" applyBorder="1" fontId="22" applyFont="1" fillId="10" applyFill="1" applyAlignment="1">
      <alignment horizontal="left"/>
    </xf>
    <xf xfId="0" numFmtId="3" applyNumberFormat="1" borderId="2" applyBorder="1" fontId="2" applyFont="1" fillId="10" applyFill="1" applyAlignment="1">
      <alignment horizontal="center"/>
    </xf>
    <xf xfId="0" numFmtId="0" borderId="1" applyBorder="1" fontId="27" applyFont="1" fillId="0" applyAlignment="1">
      <alignment horizontal="left"/>
    </xf>
    <xf xfId="0" numFmtId="3" applyNumberFormat="1" borderId="0" fontId="0" fillId="0" applyAlignment="1">
      <alignment horizontal="center"/>
    </xf>
    <xf xfId="0" numFmtId="0" borderId="0" fontId="0" fillId="0" applyAlignment="1">
      <alignment horizontal="center"/>
    </xf>
    <xf xfId="0" numFmtId="3" applyNumberFormat="1"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8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K574"/>
  <sheetViews>
    <sheetView workbookViewId="0" tabSelected="1">
      <pane state="frozen" activePane="bottomLeft" topLeftCell="A2" ySplit="1" xSplit="0"/>
    </sheetView>
  </sheetViews>
  <sheetFormatPr defaultRowHeight="15" x14ac:dyDescent="0.25"/>
  <cols>
    <col min="1" max="1" style="331" width="10.862142857142858" customWidth="1" bestFit="1"/>
    <col min="2" max="2" style="332" width="15.290714285714287" customWidth="1" bestFit="1"/>
    <col min="3" max="3" style="7" width="22.433571428571426" customWidth="1" bestFit="1"/>
    <col min="4" max="4" style="7" width="12.862142857142858" customWidth="1" bestFit="1"/>
    <col min="5" max="5" style="7" width="8.290714285714287" customWidth="1" bestFit="1"/>
    <col min="6" max="6" style="7" width="14.147857142857141" customWidth="1" bestFit="1"/>
    <col min="7" max="7" style="7" width="22.290714285714284" customWidth="1" bestFit="1"/>
    <col min="8" max="8" style="7" width="14.005" customWidth="1" bestFit="1"/>
    <col min="9" max="9" style="7" width="12.576428571428572" customWidth="1" bestFit="1"/>
    <col min="10" max="10" style="7" width="13.576428571428572" customWidth="1" bestFit="1"/>
    <col min="11" max="11" style="7" width="39.86214285714286" customWidth="1" bestFit="1"/>
    <col min="12" max="12" style="7" width="39.86214285714286" customWidth="1" bestFit="1"/>
    <col min="13" max="13" style="7" width="9.005" customWidth="1" bestFit="1"/>
    <col min="14" max="14" style="7" width="16.14785714285714" customWidth="1" bestFit="1"/>
    <col min="15" max="15" style="7" width="151.29071428571427" customWidth="1" bestFit="1"/>
    <col min="16" max="16" style="7" width="16.719285714285714" customWidth="1" bestFit="1"/>
    <col min="17" max="17" style="7" width="75.29071428571429" customWidth="1" bestFit="1"/>
    <col min="18" max="18" style="7" width="16.14785714285714" customWidth="1" bestFit="1"/>
    <col min="19" max="19" style="7" width="17.433571428571426" customWidth="1" bestFit="1"/>
    <col min="20" max="20" style="7" width="25.576428571428572" customWidth="1" bestFit="1"/>
    <col min="21" max="21" style="7" width="48.86214285714286" customWidth="1" bestFit="1"/>
    <col min="22" max="22" style="7" width="17.290714285714284" customWidth="1" bestFit="1"/>
    <col min="23" max="23" style="333" width="10.862142857142858" customWidth="1" bestFit="1"/>
    <col min="24" max="24" style="7" width="20.576428571428572" customWidth="1" bestFit="1"/>
    <col min="25" max="25" style="7" width="15.005" customWidth="1" bestFit="1"/>
    <col min="26" max="26" style="333" width="15.290714285714287" customWidth="1" bestFit="1"/>
    <col min="27" max="27" style="7" width="34.005" customWidth="1" bestFit="1"/>
    <col min="28" max="28" style="7" width="32.005" customWidth="1" bestFit="1"/>
    <col min="29" max="29" style="7" width="23.005" customWidth="1" bestFit="1"/>
    <col min="30" max="30" style="7" width="8.43357142857143" customWidth="1" bestFit="1"/>
    <col min="31" max="31" style="7" width="30.433571428571426" customWidth="1" bestFit="1"/>
    <col min="32" max="32" style="7" width="32.005" customWidth="1" bestFit="1"/>
    <col min="33" max="33" style="7" width="31.290714285714284" customWidth="1" bestFit="1"/>
    <col min="34" max="34" style="7" width="11.862142857142858" customWidth="1" bestFit="1"/>
    <col min="35" max="35" style="7" width="29.290714285714284" customWidth="1" bestFit="1"/>
    <col min="36" max="36" style="7" width="20.005" customWidth="1" bestFit="1"/>
    <col min="37" max="37" style="7" width="14.576428571428572" customWidth="1" bestFit="1"/>
    <col min="38" max="38" style="7" width="10.719285714285713" customWidth="1" bestFit="1"/>
    <col min="39" max="39" style="7" width="7.862142857142857" customWidth="1" bestFit="1"/>
    <col min="40" max="40" style="7" width="19.005" customWidth="1" bestFit="1"/>
    <col min="41" max="41" style="7" width="29.290714285714284" customWidth="1" bestFit="1"/>
    <col min="42" max="42" style="7" width="19.862142857142857" customWidth="1" bestFit="1"/>
    <col min="43" max="43" style="7" width="20.433571428571426" customWidth="1" bestFit="1"/>
    <col min="44" max="44" style="7" width="23.719285714285714" customWidth="1" bestFit="1"/>
    <col min="45" max="45" style="331" width="9.862142857142858" customWidth="1" bestFit="1"/>
    <col min="46" max="46" style="331" width="12.147857142857141" customWidth="1" bestFit="1"/>
    <col min="47" max="47" style="331" width="11.862142857142858" customWidth="1" bestFit="1"/>
    <col min="48" max="48" style="331" width="10.005" customWidth="1" bestFit="1"/>
    <col min="49" max="49" style="331" width="10.290714285714287" customWidth="1" bestFit="1"/>
    <col min="50" max="50" style="331" width="10.862142857142858" customWidth="1" bestFit="1"/>
    <col min="51" max="51" style="333" width="10.862142857142858" customWidth="1" bestFit="1"/>
    <col min="52" max="52" style="333" width="13.290714285714287" customWidth="1" bestFit="1"/>
    <col min="53" max="53" style="333" width="12.005" customWidth="1" bestFit="1"/>
    <col min="54" max="54" style="332" width="7.2907142857142855" customWidth="1" bestFit="1"/>
    <col min="55" max="55" style="331" width="10.862142857142858" customWidth="1" bestFit="1"/>
    <col min="56" max="56" style="331" width="13.290714285714287" customWidth="1" bestFit="1"/>
    <col min="57" max="57" style="7" width="1.5764285714285713" customWidth="1" bestFit="1"/>
    <col min="58" max="58" style="7" width="57.57642857142857" customWidth="1" bestFit="1"/>
    <col min="59" max="59" style="7" width="36.86214285714286" customWidth="1" bestFit="1"/>
    <col min="60" max="60" style="7" width="36.86214285714286" customWidth="1" bestFit="1"/>
    <col min="61" max="61" style="7" width="36.86214285714286" customWidth="1" bestFit="1"/>
    <col min="62" max="62" style="7" width="12.43357142857143" customWidth="1" bestFit="1"/>
    <col min="63" max="63" style="331" width="14.005" customWidth="1" bestFit="1"/>
  </cols>
  <sheetData>
    <row x14ac:dyDescent="0.25" r="1" customHeight="1" ht="55.5" customFormat="1" s="8">
      <c r="A1" s="13" t="s">
        <v>165</v>
      </c>
      <c r="B1" s="14" t="s">
        <v>166</v>
      </c>
      <c r="C1" s="14" t="s">
        <v>166</v>
      </c>
      <c r="D1" s="14" t="s">
        <v>167</v>
      </c>
      <c r="E1" s="14" t="s">
        <v>168</v>
      </c>
      <c r="F1" s="14" t="s">
        <v>169</v>
      </c>
      <c r="G1" s="14" t="s">
        <v>170</v>
      </c>
      <c r="H1" s="14" t="s">
        <v>171</v>
      </c>
      <c r="I1" s="15" t="s">
        <v>172</v>
      </c>
      <c r="J1" s="15" t="s">
        <v>173</v>
      </c>
      <c r="K1" s="14" t="s">
        <v>174</v>
      </c>
      <c r="L1" s="14" t="s">
        <v>175</v>
      </c>
      <c r="M1" s="14" t="s">
        <v>176</v>
      </c>
      <c r="N1" s="14" t="s">
        <v>177</v>
      </c>
      <c r="O1" s="16" t="s">
        <v>178</v>
      </c>
      <c r="P1" s="14" t="s">
        <v>179</v>
      </c>
      <c r="Q1" s="17" t="s">
        <v>180</v>
      </c>
      <c r="R1" s="14" t="s">
        <v>181</v>
      </c>
      <c r="S1" s="14" t="s">
        <v>182</v>
      </c>
      <c r="T1" s="14" t="s">
        <v>183</v>
      </c>
      <c r="U1" s="14" t="s">
        <v>184</v>
      </c>
      <c r="V1" s="14" t="s">
        <v>185</v>
      </c>
      <c r="W1" s="18" t="s">
        <v>186</v>
      </c>
      <c r="X1" s="19" t="s">
        <v>187</v>
      </c>
      <c r="Y1" s="19" t="s">
        <v>188</v>
      </c>
      <c r="Z1" s="20" t="s">
        <v>189</v>
      </c>
      <c r="AA1" s="14" t="s">
        <v>190</v>
      </c>
      <c r="AB1" s="14" t="s">
        <v>191</v>
      </c>
      <c r="AC1" s="14" t="s">
        <v>10</v>
      </c>
      <c r="AD1" s="14" t="s">
        <v>192</v>
      </c>
      <c r="AE1" s="21" t="s">
        <v>193</v>
      </c>
      <c r="AF1" s="14" t="s">
        <v>194</v>
      </c>
      <c r="AG1" s="14" t="s">
        <v>195</v>
      </c>
      <c r="AH1" s="14" t="s">
        <v>13</v>
      </c>
      <c r="AI1" s="14" t="s">
        <v>196</v>
      </c>
      <c r="AJ1" s="14" t="s">
        <v>197</v>
      </c>
      <c r="AK1" s="14" t="s">
        <v>198</v>
      </c>
      <c r="AL1" s="14" t="s">
        <v>199</v>
      </c>
      <c r="AM1" s="14" t="s">
        <v>200</v>
      </c>
      <c r="AN1" s="14" t="s">
        <v>201</v>
      </c>
      <c r="AO1" s="14" t="s">
        <v>202</v>
      </c>
      <c r="AP1" s="14" t="s">
        <v>203</v>
      </c>
      <c r="AQ1" s="14" t="s">
        <v>204</v>
      </c>
      <c r="AR1" s="14" t="s">
        <v>205</v>
      </c>
      <c r="AS1" s="22" t="s">
        <v>206</v>
      </c>
      <c r="AT1" s="23" t="s">
        <v>207</v>
      </c>
      <c r="AU1" s="23" t="s">
        <v>208</v>
      </c>
      <c r="AV1" s="23" t="s">
        <v>209</v>
      </c>
      <c r="AW1" s="23" t="s">
        <v>210</v>
      </c>
      <c r="AX1" s="23" t="s">
        <v>211</v>
      </c>
      <c r="AY1" s="22" t="s">
        <v>212</v>
      </c>
      <c r="AZ1" s="22" t="s">
        <v>213</v>
      </c>
      <c r="BA1" s="22" t="s">
        <v>214</v>
      </c>
      <c r="BB1" s="24" t="s">
        <v>215</v>
      </c>
      <c r="BC1" s="25" t="s">
        <v>216</v>
      </c>
      <c r="BD1" s="25" t="s">
        <v>217</v>
      </c>
      <c r="BE1" s="14"/>
      <c r="BF1" s="14" t="s">
        <v>218</v>
      </c>
      <c r="BG1" s="26" t="s">
        <v>219</v>
      </c>
      <c r="BH1" s="26" t="s">
        <v>220</v>
      </c>
      <c r="BI1" s="27" t="s">
        <v>221</v>
      </c>
      <c r="BJ1" s="28" t="s">
        <v>222</v>
      </c>
      <c r="BK1" s="29" t="s">
        <v>223</v>
      </c>
    </row>
    <row x14ac:dyDescent="0.25" r="2" customHeight="1" ht="31.5">
      <c r="A2" s="30"/>
      <c r="B2" s="5" t="s">
        <v>224</v>
      </c>
      <c r="C2" s="31" t="s">
        <v>225</v>
      </c>
      <c r="D2" s="31"/>
      <c r="E2" s="31"/>
      <c r="F2" s="31" t="s">
        <v>226</v>
      </c>
      <c r="G2" s="31" t="s">
        <v>227</v>
      </c>
      <c r="H2" s="31" t="s">
        <v>228</v>
      </c>
      <c r="I2" s="32" t="s">
        <v>229</v>
      </c>
      <c r="J2" s="31" t="s">
        <v>228</v>
      </c>
      <c r="K2" s="31" t="s">
        <v>230</v>
      </c>
      <c r="L2" s="31"/>
      <c r="M2" s="31" t="s">
        <v>231</v>
      </c>
      <c r="N2" s="31" t="s">
        <v>232</v>
      </c>
      <c r="O2" s="33"/>
      <c r="P2" s="5"/>
      <c r="Q2" s="1" t="s">
        <v>233</v>
      </c>
      <c r="R2" s="31"/>
      <c r="S2" s="31"/>
      <c r="T2" s="31"/>
      <c r="U2" s="31" t="s">
        <v>234</v>
      </c>
      <c r="V2" s="5"/>
      <c r="W2" s="34">
        <v>1</v>
      </c>
      <c r="X2" s="31" t="s">
        <v>235</v>
      </c>
      <c r="Y2" s="5"/>
      <c r="Z2" s="35">
        <v>0</v>
      </c>
      <c r="AA2" s="31" t="s">
        <v>236</v>
      </c>
      <c r="AB2" s="31" t="s">
        <v>237</v>
      </c>
      <c r="AC2" s="5" t="s">
        <v>52</v>
      </c>
      <c r="AD2" s="31" t="s">
        <v>238</v>
      </c>
      <c r="AE2" s="36" t="s">
        <v>239</v>
      </c>
      <c r="AF2" s="31" t="s">
        <v>240</v>
      </c>
      <c r="AG2" s="31"/>
      <c r="AH2" s="31"/>
      <c r="AI2" s="31"/>
      <c r="AJ2" s="31" t="s">
        <v>241</v>
      </c>
      <c r="AK2" s="31" t="s">
        <v>238</v>
      </c>
      <c r="AL2" s="31"/>
      <c r="AM2" s="31"/>
      <c r="AN2" s="31"/>
      <c r="AO2" s="31"/>
      <c r="AP2" s="31"/>
      <c r="AQ2" s="31" t="s">
        <v>242</v>
      </c>
      <c r="AR2" s="31" t="s">
        <v>243</v>
      </c>
      <c r="AS2" s="30"/>
      <c r="AT2" s="37"/>
      <c r="AU2" s="37">
        <v>5</v>
      </c>
      <c r="AV2" s="37"/>
      <c r="AW2" s="37"/>
      <c r="AX2" s="37"/>
      <c r="AY2" s="38"/>
      <c r="AZ2" s="38"/>
      <c r="BA2" s="38"/>
      <c r="BB2" s="39"/>
      <c r="BC2" s="37">
        <v>85</v>
      </c>
      <c r="BD2" s="37">
        <v>23</v>
      </c>
      <c r="BE2" s="5"/>
      <c r="BF2" s="5" t="s">
        <v>218</v>
      </c>
      <c r="BG2" s="31" t="s">
        <v>225</v>
      </c>
      <c r="BH2" s="31" t="s">
        <v>225</v>
      </c>
      <c r="BI2" s="31" t="s">
        <v>225</v>
      </c>
      <c r="BJ2" s="31" t="s">
        <v>242</v>
      </c>
      <c r="BK2" s="30">
        <v>1</v>
      </c>
    </row>
    <row x14ac:dyDescent="0.25" r="3" customHeight="1" ht="108">
      <c r="A3" s="30">
        <v>10082</v>
      </c>
      <c r="B3" s="5" t="s">
        <v>244</v>
      </c>
      <c r="C3" s="31" t="s">
        <v>245</v>
      </c>
      <c r="D3" s="31" t="s">
        <v>246</v>
      </c>
      <c r="E3" s="5"/>
      <c r="F3" s="5" t="s">
        <v>226</v>
      </c>
      <c r="G3" s="31" t="s">
        <v>247</v>
      </c>
      <c r="H3" s="31" t="s">
        <v>248</v>
      </c>
      <c r="I3" s="32"/>
      <c r="J3" s="32"/>
      <c r="K3" s="5" t="s">
        <v>249</v>
      </c>
      <c r="L3" s="5"/>
      <c r="M3" s="5" t="s">
        <v>231</v>
      </c>
      <c r="N3" s="5" t="s">
        <v>250</v>
      </c>
      <c r="O3" s="33"/>
      <c r="P3" s="5"/>
      <c r="Q3" s="1" t="s">
        <v>251</v>
      </c>
      <c r="R3" s="31" t="s">
        <v>252</v>
      </c>
      <c r="S3" s="31"/>
      <c r="T3" s="31"/>
      <c r="U3" s="31" t="s">
        <v>253</v>
      </c>
      <c r="V3" s="31" t="s">
        <v>254</v>
      </c>
      <c r="W3" s="40">
        <v>1</v>
      </c>
      <c r="X3" s="41" t="s">
        <v>255</v>
      </c>
      <c r="Y3" s="42" t="s">
        <v>256</v>
      </c>
      <c r="Z3" s="34">
        <v>0</v>
      </c>
      <c r="AA3" s="31" t="s">
        <v>257</v>
      </c>
      <c r="AB3" s="31" t="s">
        <v>258</v>
      </c>
      <c r="AC3" s="5" t="s">
        <v>52</v>
      </c>
      <c r="AD3" s="31" t="s">
        <v>259</v>
      </c>
      <c r="AE3" s="36" t="s">
        <v>260</v>
      </c>
      <c r="AF3" s="31" t="s">
        <v>261</v>
      </c>
      <c r="AG3" s="31"/>
      <c r="AH3" s="31"/>
      <c r="AI3" s="31"/>
      <c r="AJ3" s="5" t="s">
        <v>262</v>
      </c>
      <c r="AK3" s="5" t="s">
        <v>259</v>
      </c>
      <c r="AL3" s="43"/>
      <c r="AM3" s="43"/>
      <c r="AN3" s="43"/>
      <c r="AO3" s="43"/>
      <c r="AP3" s="43"/>
      <c r="AQ3" s="31" t="s">
        <v>242</v>
      </c>
      <c r="AR3" s="31" t="s">
        <v>263</v>
      </c>
      <c r="AS3" s="30"/>
      <c r="AT3" s="44"/>
      <c r="AU3" s="44"/>
      <c r="AV3" s="44"/>
      <c r="AW3" s="37">
        <v>14</v>
      </c>
      <c r="AX3" s="44"/>
      <c r="AY3" s="45"/>
      <c r="AZ3" s="38"/>
      <c r="BA3" s="38"/>
      <c r="BB3" s="46"/>
      <c r="BC3" s="37">
        <v>78</v>
      </c>
      <c r="BD3" s="37"/>
      <c r="BE3" s="5"/>
      <c r="BF3" s="5"/>
      <c r="BG3" s="47" t="s">
        <v>264</v>
      </c>
      <c r="BH3" s="47" t="s">
        <v>265</v>
      </c>
      <c r="BI3" s="47" t="s">
        <v>266</v>
      </c>
      <c r="BJ3" s="48" t="s">
        <v>242</v>
      </c>
      <c r="BK3" s="49">
        <v>3</v>
      </c>
    </row>
    <row x14ac:dyDescent="0.25" r="4" customHeight="1" ht="210">
      <c r="A4" s="30">
        <v>10159</v>
      </c>
      <c r="B4" s="5" t="s">
        <v>267</v>
      </c>
      <c r="C4" s="31" t="s">
        <v>268</v>
      </c>
      <c r="D4" s="31" t="s">
        <v>269</v>
      </c>
      <c r="E4" s="5"/>
      <c r="F4" s="5" t="s">
        <v>226</v>
      </c>
      <c r="G4" s="5" t="s">
        <v>227</v>
      </c>
      <c r="H4" s="31" t="s">
        <v>270</v>
      </c>
      <c r="I4" s="32" t="s">
        <v>229</v>
      </c>
      <c r="J4" s="31" t="s">
        <v>270</v>
      </c>
      <c r="K4" s="5" t="s">
        <v>271</v>
      </c>
      <c r="L4" s="5"/>
      <c r="M4" s="5" t="s">
        <v>231</v>
      </c>
      <c r="N4" s="5" t="s">
        <v>232</v>
      </c>
      <c r="O4" s="33"/>
      <c r="P4" s="5"/>
      <c r="Q4" s="1" t="s">
        <v>233</v>
      </c>
      <c r="R4" s="31" t="s">
        <v>233</v>
      </c>
      <c r="S4" s="31"/>
      <c r="T4" s="31"/>
      <c r="U4" s="31" t="s">
        <v>272</v>
      </c>
      <c r="V4" s="5"/>
      <c r="W4" s="34">
        <v>1</v>
      </c>
      <c r="X4" s="31" t="s">
        <v>273</v>
      </c>
      <c r="Y4" s="5" t="s">
        <v>256</v>
      </c>
      <c r="Z4" s="35">
        <v>0</v>
      </c>
      <c r="AA4" s="31" t="s">
        <v>274</v>
      </c>
      <c r="AB4" s="31" t="s">
        <v>275</v>
      </c>
      <c r="AC4" s="5" t="s">
        <v>52</v>
      </c>
      <c r="AD4" s="31" t="s">
        <v>238</v>
      </c>
      <c r="AE4" s="36" t="s">
        <v>239</v>
      </c>
      <c r="AF4" s="31" t="s">
        <v>276</v>
      </c>
      <c r="AG4" s="31"/>
      <c r="AH4" s="31"/>
      <c r="AI4" s="31"/>
      <c r="AJ4" s="31" t="s">
        <v>241</v>
      </c>
      <c r="AK4" s="31" t="s">
        <v>238</v>
      </c>
      <c r="AL4" s="31"/>
      <c r="AM4" s="31"/>
      <c r="AN4" s="31"/>
      <c r="AO4" s="31"/>
      <c r="AP4" s="31"/>
      <c r="AQ4" s="31" t="s">
        <v>242</v>
      </c>
      <c r="AR4" s="31" t="s">
        <v>243</v>
      </c>
      <c r="AS4" s="30"/>
      <c r="AT4" s="37"/>
      <c r="AU4" s="37">
        <v>4</v>
      </c>
      <c r="AV4" s="37"/>
      <c r="AW4" s="37"/>
      <c r="AX4" s="37"/>
      <c r="AY4" s="38"/>
      <c r="AZ4" s="38"/>
      <c r="BA4" s="38"/>
      <c r="BB4" s="1"/>
      <c r="BC4" s="37">
        <v>88</v>
      </c>
      <c r="BD4" s="37"/>
      <c r="BE4" s="5"/>
      <c r="BF4" s="5"/>
      <c r="BG4" s="47" t="s">
        <v>277</v>
      </c>
      <c r="BH4" s="47" t="s">
        <v>268</v>
      </c>
      <c r="BI4" s="47" t="s">
        <v>277</v>
      </c>
      <c r="BJ4" s="31" t="s">
        <v>242</v>
      </c>
      <c r="BK4" s="30">
        <v>3</v>
      </c>
    </row>
    <row x14ac:dyDescent="0.25" r="5" customHeight="1" ht="69.75">
      <c r="A5" s="30" t="s">
        <v>278</v>
      </c>
      <c r="B5" s="31" t="s">
        <v>279</v>
      </c>
      <c r="C5" s="31" t="s">
        <v>280</v>
      </c>
      <c r="D5" s="31" t="s">
        <v>281</v>
      </c>
      <c r="E5" s="31"/>
      <c r="F5" s="31" t="s">
        <v>282</v>
      </c>
      <c r="G5" s="31" t="s">
        <v>283</v>
      </c>
      <c r="H5" s="31" t="s">
        <v>284</v>
      </c>
      <c r="I5" s="32"/>
      <c r="J5" s="32"/>
      <c r="K5" s="5"/>
      <c r="L5" s="5"/>
      <c r="M5" s="5" t="s">
        <v>231</v>
      </c>
      <c r="N5" s="5" t="s">
        <v>285</v>
      </c>
      <c r="O5" s="33"/>
      <c r="P5" s="5"/>
      <c r="Q5" s="1" t="s">
        <v>251</v>
      </c>
      <c r="R5" s="31" t="s">
        <v>286</v>
      </c>
      <c r="S5" s="31"/>
      <c r="T5" s="31"/>
      <c r="U5" s="31" t="s">
        <v>287</v>
      </c>
      <c r="V5" s="5"/>
      <c r="W5" s="40">
        <v>1</v>
      </c>
      <c r="X5" s="41" t="s">
        <v>285</v>
      </c>
      <c r="Y5" s="42" t="s">
        <v>288</v>
      </c>
      <c r="Z5" s="34">
        <v>0</v>
      </c>
      <c r="AA5" s="31" t="s">
        <v>289</v>
      </c>
      <c r="AB5" s="31" t="s">
        <v>290</v>
      </c>
      <c r="AC5" s="5" t="s">
        <v>64</v>
      </c>
      <c r="AD5" s="31" t="s">
        <v>259</v>
      </c>
      <c r="AE5" s="36" t="s">
        <v>291</v>
      </c>
      <c r="AF5" s="31" t="s">
        <v>292</v>
      </c>
      <c r="AG5" s="31" t="s">
        <v>32</v>
      </c>
      <c r="AH5" s="31"/>
      <c r="AI5" s="31"/>
      <c r="AJ5" s="31" t="s">
        <v>262</v>
      </c>
      <c r="AK5" s="31" t="s">
        <v>259</v>
      </c>
      <c r="AL5" s="31"/>
      <c r="AM5" s="31"/>
      <c r="AN5" s="31"/>
      <c r="AO5" s="31"/>
      <c r="AP5" s="31"/>
      <c r="AQ5" s="31" t="s">
        <v>242</v>
      </c>
      <c r="AR5" s="31"/>
      <c r="AS5" s="30"/>
      <c r="AT5" s="37"/>
      <c r="AU5" s="37"/>
      <c r="AV5" s="37">
        <v>5</v>
      </c>
      <c r="AW5" s="37"/>
      <c r="AX5" s="37"/>
      <c r="AY5" s="38"/>
      <c r="AZ5" s="38"/>
      <c r="BA5" s="38"/>
      <c r="BB5" s="39"/>
      <c r="BC5" s="37"/>
      <c r="BD5" s="37"/>
      <c r="BE5" s="5"/>
      <c r="BF5" s="5"/>
      <c r="BG5" s="31" t="s">
        <v>293</v>
      </c>
      <c r="BH5" s="47"/>
      <c r="BI5" s="31" t="s">
        <v>293</v>
      </c>
      <c r="BJ5" s="48" t="s">
        <v>242</v>
      </c>
      <c r="BK5" s="49">
        <v>1</v>
      </c>
    </row>
    <row x14ac:dyDescent="0.25" r="6" customHeight="1" ht="69.75">
      <c r="A6" s="30" t="s">
        <v>294</v>
      </c>
      <c r="B6" s="31" t="s">
        <v>295</v>
      </c>
      <c r="C6" s="31" t="s">
        <v>296</v>
      </c>
      <c r="D6" s="31" t="s">
        <v>297</v>
      </c>
      <c r="E6" s="31"/>
      <c r="F6" s="31" t="s">
        <v>282</v>
      </c>
      <c r="G6" s="31" t="s">
        <v>283</v>
      </c>
      <c r="H6" s="31" t="s">
        <v>298</v>
      </c>
      <c r="I6" s="32"/>
      <c r="J6" s="32"/>
      <c r="K6" s="5"/>
      <c r="L6" s="5"/>
      <c r="M6" s="5" t="s">
        <v>231</v>
      </c>
      <c r="N6" s="5" t="s">
        <v>285</v>
      </c>
      <c r="O6" s="33"/>
      <c r="P6" s="5"/>
      <c r="Q6" s="1" t="s">
        <v>251</v>
      </c>
      <c r="R6" s="31" t="s">
        <v>286</v>
      </c>
      <c r="S6" s="31"/>
      <c r="T6" s="31"/>
      <c r="U6" s="31" t="s">
        <v>299</v>
      </c>
      <c r="V6" s="5"/>
      <c r="W6" s="34">
        <v>1</v>
      </c>
      <c r="X6" s="31" t="s">
        <v>285</v>
      </c>
      <c r="Y6" s="5" t="s">
        <v>288</v>
      </c>
      <c r="Z6" s="34">
        <v>0</v>
      </c>
      <c r="AA6" s="31" t="s">
        <v>300</v>
      </c>
      <c r="AB6" s="31" t="s">
        <v>301</v>
      </c>
      <c r="AC6" s="5" t="s">
        <v>64</v>
      </c>
      <c r="AD6" s="31" t="s">
        <v>259</v>
      </c>
      <c r="AE6" s="36" t="s">
        <v>291</v>
      </c>
      <c r="AF6" s="31" t="s">
        <v>292</v>
      </c>
      <c r="AG6" s="31" t="s">
        <v>18</v>
      </c>
      <c r="AH6" s="31"/>
      <c r="AI6" s="31"/>
      <c r="AJ6" s="31" t="s">
        <v>262</v>
      </c>
      <c r="AK6" s="31" t="s">
        <v>259</v>
      </c>
      <c r="AL6" s="31"/>
      <c r="AM6" s="31"/>
      <c r="AN6" s="31"/>
      <c r="AO6" s="31"/>
      <c r="AP6" s="31"/>
      <c r="AQ6" s="31" t="s">
        <v>242</v>
      </c>
      <c r="AR6" s="31"/>
      <c r="AS6" s="30"/>
      <c r="AT6" s="37"/>
      <c r="AU6" s="37"/>
      <c r="AV6" s="37">
        <v>4</v>
      </c>
      <c r="AW6" s="37"/>
      <c r="AX6" s="37"/>
      <c r="AY6" s="38"/>
      <c r="AZ6" s="38"/>
      <c r="BA6" s="38"/>
      <c r="BB6" s="39"/>
      <c r="BC6" s="37"/>
      <c r="BD6" s="37"/>
      <c r="BE6" s="5"/>
      <c r="BF6" s="5"/>
      <c r="BG6" s="31" t="s">
        <v>302</v>
      </c>
      <c r="BH6" s="47"/>
      <c r="BI6" s="31" t="s">
        <v>302</v>
      </c>
      <c r="BJ6" s="48" t="s">
        <v>242</v>
      </c>
      <c r="BK6" s="49">
        <v>1</v>
      </c>
    </row>
    <row x14ac:dyDescent="0.25" r="7" customHeight="1" ht="69.75">
      <c r="A7" s="30" t="s">
        <v>303</v>
      </c>
      <c r="B7" s="31" t="s">
        <v>304</v>
      </c>
      <c r="C7" s="31" t="s">
        <v>305</v>
      </c>
      <c r="D7" s="31" t="s">
        <v>306</v>
      </c>
      <c r="E7" s="31"/>
      <c r="F7" s="31" t="s">
        <v>282</v>
      </c>
      <c r="G7" s="31" t="s">
        <v>283</v>
      </c>
      <c r="H7" s="31" t="s">
        <v>307</v>
      </c>
      <c r="I7" s="32"/>
      <c r="J7" s="32"/>
      <c r="K7" s="5"/>
      <c r="L7" s="5"/>
      <c r="M7" s="5" t="s">
        <v>231</v>
      </c>
      <c r="N7" s="5" t="s">
        <v>285</v>
      </c>
      <c r="O7" s="33"/>
      <c r="P7" s="5"/>
      <c r="Q7" s="1" t="s">
        <v>251</v>
      </c>
      <c r="R7" s="31" t="s">
        <v>286</v>
      </c>
      <c r="S7" s="31"/>
      <c r="T7" s="31"/>
      <c r="U7" s="31" t="s">
        <v>308</v>
      </c>
      <c r="V7" s="5"/>
      <c r="W7" s="40">
        <v>1</v>
      </c>
      <c r="X7" s="41" t="s">
        <v>285</v>
      </c>
      <c r="Y7" s="42" t="s">
        <v>288</v>
      </c>
      <c r="Z7" s="34">
        <v>0</v>
      </c>
      <c r="AA7" s="31" t="s">
        <v>309</v>
      </c>
      <c r="AB7" s="31" t="s">
        <v>310</v>
      </c>
      <c r="AC7" s="5" t="s">
        <v>64</v>
      </c>
      <c r="AD7" s="31" t="s">
        <v>259</v>
      </c>
      <c r="AE7" s="36" t="s">
        <v>291</v>
      </c>
      <c r="AF7" s="31" t="s">
        <v>292</v>
      </c>
      <c r="AG7" s="31" t="s">
        <v>46</v>
      </c>
      <c r="AH7" s="31"/>
      <c r="AI7" s="31"/>
      <c r="AJ7" s="31" t="s">
        <v>262</v>
      </c>
      <c r="AK7" s="31" t="s">
        <v>259</v>
      </c>
      <c r="AL7" s="31"/>
      <c r="AM7" s="31"/>
      <c r="AN7" s="31"/>
      <c r="AO7" s="31"/>
      <c r="AP7" s="31"/>
      <c r="AQ7" s="31" t="s">
        <v>242</v>
      </c>
      <c r="AR7" s="31"/>
      <c r="AS7" s="30"/>
      <c r="AT7" s="37"/>
      <c r="AU7" s="37"/>
      <c r="AV7" s="37">
        <v>6</v>
      </c>
      <c r="AW7" s="37"/>
      <c r="AX7" s="37"/>
      <c r="AY7" s="38"/>
      <c r="AZ7" s="38"/>
      <c r="BA7" s="38"/>
      <c r="BB7" s="39"/>
      <c r="BC7" s="37"/>
      <c r="BD7" s="37"/>
      <c r="BE7" s="5"/>
      <c r="BF7" s="5"/>
      <c r="BG7" s="47" t="s">
        <v>311</v>
      </c>
      <c r="BH7" s="47"/>
      <c r="BI7" s="31" t="s">
        <v>311</v>
      </c>
      <c r="BJ7" s="48" t="s">
        <v>242</v>
      </c>
      <c r="BK7" s="49">
        <v>1</v>
      </c>
    </row>
    <row x14ac:dyDescent="0.25" r="8" customHeight="1" ht="69.75">
      <c r="A8" s="50" t="s">
        <v>312</v>
      </c>
      <c r="B8" s="51" t="s">
        <v>313</v>
      </c>
      <c r="C8" s="51" t="s">
        <v>314</v>
      </c>
      <c r="D8" s="51" t="s">
        <v>315</v>
      </c>
      <c r="E8" s="51"/>
      <c r="F8" s="51" t="s">
        <v>282</v>
      </c>
      <c r="G8" s="51" t="s">
        <v>283</v>
      </c>
      <c r="H8" s="51" t="s">
        <v>316</v>
      </c>
      <c r="I8" s="32"/>
      <c r="J8" s="32"/>
      <c r="K8" s="5"/>
      <c r="L8" s="5"/>
      <c r="M8" s="5" t="s">
        <v>231</v>
      </c>
      <c r="N8" s="5" t="s">
        <v>285</v>
      </c>
      <c r="O8" s="33"/>
      <c r="P8" s="5"/>
      <c r="Q8" s="1" t="s">
        <v>251</v>
      </c>
      <c r="R8" s="31" t="s">
        <v>286</v>
      </c>
      <c r="S8" s="31"/>
      <c r="T8" s="31"/>
      <c r="U8" s="31" t="s">
        <v>317</v>
      </c>
      <c r="V8" s="5"/>
      <c r="W8" s="40">
        <v>1</v>
      </c>
      <c r="X8" s="41" t="s">
        <v>285</v>
      </c>
      <c r="Y8" s="42" t="s">
        <v>288</v>
      </c>
      <c r="Z8" s="34">
        <v>0</v>
      </c>
      <c r="AA8" s="31" t="s">
        <v>318</v>
      </c>
      <c r="AB8" s="31" t="s">
        <v>319</v>
      </c>
      <c r="AC8" s="5" t="s">
        <v>64</v>
      </c>
      <c r="AD8" s="31" t="s">
        <v>259</v>
      </c>
      <c r="AE8" s="36" t="s">
        <v>291</v>
      </c>
      <c r="AF8" s="31" t="s">
        <v>292</v>
      </c>
      <c r="AG8" s="31" t="s">
        <v>93</v>
      </c>
      <c r="AH8" s="31"/>
      <c r="AI8" s="31"/>
      <c r="AJ8" s="31" t="s">
        <v>262</v>
      </c>
      <c r="AK8" s="31" t="s">
        <v>259</v>
      </c>
      <c r="AL8" s="31"/>
      <c r="AM8" s="31"/>
      <c r="AN8" s="31"/>
      <c r="AO8" s="31"/>
      <c r="AP8" s="31"/>
      <c r="AQ8" s="31" t="s">
        <v>242</v>
      </c>
      <c r="AR8" s="31"/>
      <c r="AS8" s="30"/>
      <c r="AT8" s="37"/>
      <c r="AU8" s="37"/>
      <c r="AV8" s="37">
        <v>12</v>
      </c>
      <c r="AW8" s="37"/>
      <c r="AX8" s="37"/>
      <c r="AY8" s="38"/>
      <c r="AZ8" s="38"/>
      <c r="BA8" s="38"/>
      <c r="BB8" s="39"/>
      <c r="BC8" s="37"/>
      <c r="BD8" s="37"/>
      <c r="BE8" s="5"/>
      <c r="BF8" s="5"/>
      <c r="BG8" s="31" t="s">
        <v>320</v>
      </c>
      <c r="BH8" s="47"/>
      <c r="BI8" s="52" t="s">
        <v>320</v>
      </c>
      <c r="BJ8" s="48" t="s">
        <v>242</v>
      </c>
      <c r="BK8" s="49">
        <v>1</v>
      </c>
    </row>
    <row x14ac:dyDescent="0.25" r="9" customHeight="1" ht="69.75">
      <c r="A9" s="30" t="s">
        <v>321</v>
      </c>
      <c r="B9" s="31" t="s">
        <v>322</v>
      </c>
      <c r="C9" s="31" t="s">
        <v>323</v>
      </c>
      <c r="D9" s="31" t="s">
        <v>324</v>
      </c>
      <c r="E9" s="31"/>
      <c r="F9" s="31" t="s">
        <v>282</v>
      </c>
      <c r="G9" s="31" t="s">
        <v>283</v>
      </c>
      <c r="H9" s="31" t="s">
        <v>325</v>
      </c>
      <c r="I9" s="32"/>
      <c r="J9" s="32"/>
      <c r="K9" s="5"/>
      <c r="L9" s="5"/>
      <c r="M9" s="5" t="s">
        <v>231</v>
      </c>
      <c r="N9" s="5" t="s">
        <v>285</v>
      </c>
      <c r="O9" s="33"/>
      <c r="P9" s="5"/>
      <c r="Q9" s="1" t="s">
        <v>251</v>
      </c>
      <c r="R9" s="31" t="s">
        <v>286</v>
      </c>
      <c r="S9" s="31"/>
      <c r="T9" s="31"/>
      <c r="U9" s="31" t="s">
        <v>326</v>
      </c>
      <c r="V9" s="5"/>
      <c r="W9" s="40">
        <v>1</v>
      </c>
      <c r="X9" s="41" t="s">
        <v>285</v>
      </c>
      <c r="Y9" s="42" t="s">
        <v>288</v>
      </c>
      <c r="Z9" s="34">
        <v>0</v>
      </c>
      <c r="AA9" s="31" t="s">
        <v>327</v>
      </c>
      <c r="AB9" s="31" t="s">
        <v>328</v>
      </c>
      <c r="AC9" s="5" t="s">
        <v>64</v>
      </c>
      <c r="AD9" s="31" t="s">
        <v>259</v>
      </c>
      <c r="AE9" s="36" t="s">
        <v>291</v>
      </c>
      <c r="AF9" s="31" t="s">
        <v>292</v>
      </c>
      <c r="AG9" s="31" t="s">
        <v>58</v>
      </c>
      <c r="AH9" s="31"/>
      <c r="AI9" s="31"/>
      <c r="AJ9" s="31" t="s">
        <v>262</v>
      </c>
      <c r="AK9" s="31" t="s">
        <v>259</v>
      </c>
      <c r="AL9" s="31"/>
      <c r="AM9" s="31"/>
      <c r="AN9" s="31"/>
      <c r="AO9" s="31"/>
      <c r="AP9" s="31"/>
      <c r="AQ9" s="31" t="s">
        <v>242</v>
      </c>
      <c r="AR9" s="31"/>
      <c r="AS9" s="30"/>
      <c r="AT9" s="37"/>
      <c r="AU9" s="37"/>
      <c r="AV9" s="37">
        <v>8</v>
      </c>
      <c r="AW9" s="37"/>
      <c r="AX9" s="37"/>
      <c r="AY9" s="38"/>
      <c r="AZ9" s="38"/>
      <c r="BA9" s="38"/>
      <c r="BB9" s="39"/>
      <c r="BC9" s="37"/>
      <c r="BD9" s="37"/>
      <c r="BE9" s="5"/>
      <c r="BF9" s="5"/>
      <c r="BG9" s="31" t="s">
        <v>329</v>
      </c>
      <c r="BH9" s="47"/>
      <c r="BI9" s="52" t="s">
        <v>329</v>
      </c>
      <c r="BJ9" s="48" t="s">
        <v>242</v>
      </c>
      <c r="BK9" s="49">
        <v>1</v>
      </c>
    </row>
    <row x14ac:dyDescent="0.25" r="10" customHeight="1" ht="69.75">
      <c r="A10" s="30" t="s">
        <v>330</v>
      </c>
      <c r="B10" s="31" t="s">
        <v>331</v>
      </c>
      <c r="C10" s="31" t="s">
        <v>332</v>
      </c>
      <c r="D10" s="31" t="s">
        <v>333</v>
      </c>
      <c r="E10" s="31"/>
      <c r="F10" s="31" t="s">
        <v>282</v>
      </c>
      <c r="G10" s="31" t="s">
        <v>283</v>
      </c>
      <c r="H10" s="31" t="s">
        <v>334</v>
      </c>
      <c r="I10" s="32"/>
      <c r="J10" s="32"/>
      <c r="K10" s="5"/>
      <c r="L10" s="5"/>
      <c r="M10" s="5" t="s">
        <v>231</v>
      </c>
      <c r="N10" s="5" t="s">
        <v>285</v>
      </c>
      <c r="O10" s="33"/>
      <c r="P10" s="5"/>
      <c r="Q10" s="1" t="s">
        <v>251</v>
      </c>
      <c r="R10" s="31" t="s">
        <v>286</v>
      </c>
      <c r="S10" s="31"/>
      <c r="T10" s="31"/>
      <c r="U10" s="31" t="s">
        <v>335</v>
      </c>
      <c r="V10" s="5"/>
      <c r="W10" s="40">
        <v>1</v>
      </c>
      <c r="X10" s="41" t="s">
        <v>285</v>
      </c>
      <c r="Y10" s="42" t="s">
        <v>288</v>
      </c>
      <c r="Z10" s="34">
        <v>0</v>
      </c>
      <c r="AA10" s="31" t="s">
        <v>336</v>
      </c>
      <c r="AB10" s="31" t="s">
        <v>337</v>
      </c>
      <c r="AC10" s="5" t="s">
        <v>64</v>
      </c>
      <c r="AD10" s="31" t="s">
        <v>259</v>
      </c>
      <c r="AE10" s="36" t="s">
        <v>291</v>
      </c>
      <c r="AF10" s="31" t="s">
        <v>292</v>
      </c>
      <c r="AG10" s="31" t="s">
        <v>70</v>
      </c>
      <c r="AH10" s="31"/>
      <c r="AI10" s="31"/>
      <c r="AJ10" s="31" t="s">
        <v>262</v>
      </c>
      <c r="AK10" s="31" t="s">
        <v>259</v>
      </c>
      <c r="AL10" s="31"/>
      <c r="AM10" s="31"/>
      <c r="AN10" s="31"/>
      <c r="AO10" s="31"/>
      <c r="AP10" s="31"/>
      <c r="AQ10" s="31" t="s">
        <v>242</v>
      </c>
      <c r="AR10" s="31"/>
      <c r="AS10" s="30"/>
      <c r="AT10" s="37"/>
      <c r="AU10" s="37"/>
      <c r="AV10" s="37">
        <v>10</v>
      </c>
      <c r="AW10" s="37"/>
      <c r="AX10" s="37"/>
      <c r="AY10" s="38"/>
      <c r="AZ10" s="38"/>
      <c r="BA10" s="38"/>
      <c r="BB10" s="39"/>
      <c r="BC10" s="37"/>
      <c r="BD10" s="37"/>
      <c r="BE10" s="5"/>
      <c r="BF10" s="5"/>
      <c r="BG10" s="31" t="s">
        <v>338</v>
      </c>
      <c r="BH10" s="47"/>
      <c r="BI10" s="52" t="s">
        <v>338</v>
      </c>
      <c r="BJ10" s="48" t="s">
        <v>242</v>
      </c>
      <c r="BK10" s="49">
        <v>1</v>
      </c>
    </row>
    <row x14ac:dyDescent="0.25" r="11" customHeight="1" ht="69.75">
      <c r="A11" s="50" t="s">
        <v>339</v>
      </c>
      <c r="B11" s="51" t="s">
        <v>340</v>
      </c>
      <c r="C11" s="51" t="s">
        <v>341</v>
      </c>
      <c r="D11" s="51" t="s">
        <v>342</v>
      </c>
      <c r="E11" s="51"/>
      <c r="F11" s="51" t="s">
        <v>282</v>
      </c>
      <c r="G11" s="51" t="s">
        <v>283</v>
      </c>
      <c r="H11" s="51" t="s">
        <v>343</v>
      </c>
      <c r="I11" s="32"/>
      <c r="J11" s="32"/>
      <c r="K11" s="5"/>
      <c r="L11" s="5"/>
      <c r="M11" s="5" t="s">
        <v>231</v>
      </c>
      <c r="N11" s="5" t="s">
        <v>285</v>
      </c>
      <c r="O11" s="33"/>
      <c r="P11" s="5"/>
      <c r="Q11" s="1" t="s">
        <v>251</v>
      </c>
      <c r="R11" s="31" t="s">
        <v>286</v>
      </c>
      <c r="S11" s="31"/>
      <c r="T11" s="31"/>
      <c r="U11" s="31" t="s">
        <v>344</v>
      </c>
      <c r="V11" s="5"/>
      <c r="W11" s="40">
        <v>1</v>
      </c>
      <c r="X11" s="41" t="s">
        <v>285</v>
      </c>
      <c r="Y11" s="42" t="s">
        <v>288</v>
      </c>
      <c r="Z11" s="34">
        <v>0</v>
      </c>
      <c r="AA11" s="31" t="s">
        <v>345</v>
      </c>
      <c r="AB11" s="31" t="s">
        <v>346</v>
      </c>
      <c r="AC11" s="5" t="s">
        <v>64</v>
      </c>
      <c r="AD11" s="31" t="s">
        <v>259</v>
      </c>
      <c r="AE11" s="36" t="s">
        <v>291</v>
      </c>
      <c r="AF11" s="31" t="s">
        <v>292</v>
      </c>
      <c r="AG11" s="31" t="s">
        <v>102</v>
      </c>
      <c r="AH11" s="31"/>
      <c r="AI11" s="31"/>
      <c r="AJ11" s="31" t="s">
        <v>262</v>
      </c>
      <c r="AK11" s="31" t="s">
        <v>259</v>
      </c>
      <c r="AL11" s="31"/>
      <c r="AM11" s="31"/>
      <c r="AN11" s="31"/>
      <c r="AO11" s="31"/>
      <c r="AP11" s="31"/>
      <c r="AQ11" s="31" t="s">
        <v>242</v>
      </c>
      <c r="AR11" s="31"/>
      <c r="AS11" s="30"/>
      <c r="AT11" s="37"/>
      <c r="AU11" s="37"/>
      <c r="AV11" s="37">
        <v>13</v>
      </c>
      <c r="AW11" s="37"/>
      <c r="AX11" s="37"/>
      <c r="AY11" s="38"/>
      <c r="AZ11" s="38"/>
      <c r="BA11" s="38"/>
      <c r="BB11" s="39"/>
      <c r="BC11" s="37"/>
      <c r="BD11" s="37"/>
      <c r="BE11" s="5"/>
      <c r="BF11" s="5"/>
      <c r="BG11" s="31" t="s">
        <v>347</v>
      </c>
      <c r="BH11" s="47"/>
      <c r="BI11" s="52" t="s">
        <v>347</v>
      </c>
      <c r="BJ11" s="48" t="s">
        <v>242</v>
      </c>
      <c r="BK11" s="49">
        <v>1</v>
      </c>
    </row>
    <row x14ac:dyDescent="0.25" r="12" customHeight="1" ht="57">
      <c r="A12" s="30" t="s">
        <v>348</v>
      </c>
      <c r="B12" s="31" t="s">
        <v>349</v>
      </c>
      <c r="C12" s="31" t="s">
        <v>350</v>
      </c>
      <c r="D12" s="31" t="s">
        <v>351</v>
      </c>
      <c r="E12" s="31"/>
      <c r="F12" s="31" t="s">
        <v>282</v>
      </c>
      <c r="G12" s="31" t="s">
        <v>283</v>
      </c>
      <c r="H12" s="31" t="s">
        <v>352</v>
      </c>
      <c r="I12" s="32"/>
      <c r="J12" s="32"/>
      <c r="K12" s="5"/>
      <c r="L12" s="5"/>
      <c r="M12" s="5" t="s">
        <v>231</v>
      </c>
      <c r="N12" s="5" t="s">
        <v>285</v>
      </c>
      <c r="O12" s="33"/>
      <c r="P12" s="5"/>
      <c r="Q12" s="1" t="s">
        <v>251</v>
      </c>
      <c r="R12" s="31" t="s">
        <v>286</v>
      </c>
      <c r="S12" s="31"/>
      <c r="T12" s="31"/>
      <c r="U12" s="31" t="s">
        <v>353</v>
      </c>
      <c r="V12" s="5"/>
      <c r="W12" s="34">
        <v>1</v>
      </c>
      <c r="X12" s="41" t="s">
        <v>285</v>
      </c>
      <c r="Y12" s="5" t="s">
        <v>288</v>
      </c>
      <c r="Z12" s="34">
        <v>0</v>
      </c>
      <c r="AA12" s="31" t="s">
        <v>354</v>
      </c>
      <c r="AB12" s="31" t="s">
        <v>355</v>
      </c>
      <c r="AC12" s="5" t="s">
        <v>64</v>
      </c>
      <c r="AD12" s="31" t="s">
        <v>259</v>
      </c>
      <c r="AE12" s="36" t="s">
        <v>291</v>
      </c>
      <c r="AF12" s="31" t="s">
        <v>292</v>
      </c>
      <c r="AG12" s="31" t="s">
        <v>82</v>
      </c>
      <c r="AH12" s="31"/>
      <c r="AI12" s="31"/>
      <c r="AJ12" s="31" t="s">
        <v>262</v>
      </c>
      <c r="AK12" s="31" t="s">
        <v>259</v>
      </c>
      <c r="AL12" s="31"/>
      <c r="AM12" s="31"/>
      <c r="AN12" s="31"/>
      <c r="AO12" s="31"/>
      <c r="AP12" s="31"/>
      <c r="AQ12" s="31" t="s">
        <v>242</v>
      </c>
      <c r="AR12" s="31"/>
      <c r="AS12" s="30"/>
      <c r="AT12" s="37"/>
      <c r="AU12" s="37"/>
      <c r="AV12" s="37">
        <v>11</v>
      </c>
      <c r="AW12" s="37"/>
      <c r="AX12" s="37"/>
      <c r="AY12" s="38"/>
      <c r="AZ12" s="38"/>
      <c r="BA12" s="38"/>
      <c r="BB12" s="39"/>
      <c r="BC12" s="37"/>
      <c r="BD12" s="37"/>
      <c r="BE12" s="5"/>
      <c r="BF12" s="5"/>
      <c r="BG12" s="31" t="s">
        <v>356</v>
      </c>
      <c r="BH12" s="47"/>
      <c r="BI12" s="52" t="s">
        <v>356</v>
      </c>
      <c r="BJ12" s="48" t="s">
        <v>242</v>
      </c>
      <c r="BK12" s="49">
        <v>1</v>
      </c>
    </row>
    <row x14ac:dyDescent="0.25" r="13" customHeight="1" ht="95.25">
      <c r="A13" s="30" t="s">
        <v>357</v>
      </c>
      <c r="B13" s="5" t="s">
        <v>358</v>
      </c>
      <c r="C13" s="31" t="s">
        <v>359</v>
      </c>
      <c r="D13" s="31" t="s">
        <v>360</v>
      </c>
      <c r="E13" s="31"/>
      <c r="F13" s="31" t="s">
        <v>226</v>
      </c>
      <c r="G13" s="31" t="s">
        <v>227</v>
      </c>
      <c r="H13" s="31" t="s">
        <v>361</v>
      </c>
      <c r="I13" s="32" t="s">
        <v>229</v>
      </c>
      <c r="J13" s="32" t="s">
        <v>362</v>
      </c>
      <c r="K13" s="31"/>
      <c r="L13" s="31"/>
      <c r="M13" s="31" t="s">
        <v>231</v>
      </c>
      <c r="N13" s="31" t="s">
        <v>232</v>
      </c>
      <c r="O13" s="53"/>
      <c r="P13" s="31"/>
      <c r="Q13" s="1" t="s">
        <v>251</v>
      </c>
      <c r="R13" s="31" t="s">
        <v>233</v>
      </c>
      <c r="S13" s="31"/>
      <c r="T13" s="31" t="s">
        <v>363</v>
      </c>
      <c r="U13" s="31" t="s">
        <v>364</v>
      </c>
      <c r="V13" s="5"/>
      <c r="W13" s="34">
        <v>1</v>
      </c>
      <c r="X13" s="31" t="s">
        <v>273</v>
      </c>
      <c r="Y13" s="5"/>
      <c r="Z13" s="34">
        <v>0</v>
      </c>
      <c r="AA13" s="31" t="s">
        <v>365</v>
      </c>
      <c r="AB13" s="31" t="s">
        <v>366</v>
      </c>
      <c r="AC13" s="5" t="s">
        <v>52</v>
      </c>
      <c r="AD13" s="31" t="s">
        <v>238</v>
      </c>
      <c r="AE13" s="36" t="s">
        <v>239</v>
      </c>
      <c r="AF13" s="31" t="s">
        <v>367</v>
      </c>
      <c r="AG13" s="31"/>
      <c r="AH13" s="31"/>
      <c r="AI13" s="31"/>
      <c r="AJ13" s="31" t="s">
        <v>241</v>
      </c>
      <c r="AK13" s="31" t="s">
        <v>238</v>
      </c>
      <c r="AL13" s="31"/>
      <c r="AM13" s="31"/>
      <c r="AN13" s="31"/>
      <c r="AO13" s="31"/>
      <c r="AP13" s="31"/>
      <c r="AQ13" s="31" t="s">
        <v>242</v>
      </c>
      <c r="AR13" s="31"/>
      <c r="AS13" s="30"/>
      <c r="AT13" s="37"/>
      <c r="AU13" s="37">
        <v>7</v>
      </c>
      <c r="AV13" s="37"/>
      <c r="AW13" s="37"/>
      <c r="AX13" s="37"/>
      <c r="AY13" s="38"/>
      <c r="AZ13" s="38"/>
      <c r="BA13" s="38"/>
      <c r="BB13" s="54"/>
      <c r="BC13" s="37"/>
      <c r="BD13" s="37"/>
      <c r="BE13" s="5"/>
      <c r="BF13" s="5"/>
      <c r="BG13" s="31" t="s">
        <v>368</v>
      </c>
      <c r="BH13" s="31"/>
      <c r="BI13" s="31" t="s">
        <v>368</v>
      </c>
      <c r="BJ13" s="31" t="s">
        <v>242</v>
      </c>
      <c r="BK13" s="30">
        <v>1</v>
      </c>
    </row>
    <row x14ac:dyDescent="0.25" r="14" customHeight="1" ht="69.75">
      <c r="A14" s="30" t="s">
        <v>369</v>
      </c>
      <c r="B14" s="5" t="s">
        <v>370</v>
      </c>
      <c r="C14" s="31" t="s">
        <v>371</v>
      </c>
      <c r="D14" s="31" t="s">
        <v>372</v>
      </c>
      <c r="E14" s="5"/>
      <c r="F14" s="5" t="s">
        <v>226</v>
      </c>
      <c r="G14" s="5" t="s">
        <v>227</v>
      </c>
      <c r="H14" s="31" t="s">
        <v>362</v>
      </c>
      <c r="I14" s="32" t="s">
        <v>229</v>
      </c>
      <c r="J14" s="32" t="s">
        <v>228</v>
      </c>
      <c r="K14" s="5"/>
      <c r="L14" s="5"/>
      <c r="M14" s="5" t="s">
        <v>231</v>
      </c>
      <c r="N14" s="5" t="s">
        <v>232</v>
      </c>
      <c r="O14" s="33"/>
      <c r="P14" s="5"/>
      <c r="Q14" s="1" t="s">
        <v>233</v>
      </c>
      <c r="R14" s="31" t="s">
        <v>233</v>
      </c>
      <c r="S14" s="31"/>
      <c r="T14" s="31" t="s">
        <v>373</v>
      </c>
      <c r="U14" s="31" t="s">
        <v>272</v>
      </c>
      <c r="V14" s="5"/>
      <c r="W14" s="40">
        <v>1</v>
      </c>
      <c r="X14" s="41" t="s">
        <v>374</v>
      </c>
      <c r="Y14" s="42" t="s">
        <v>256</v>
      </c>
      <c r="Z14" s="35">
        <v>0</v>
      </c>
      <c r="AA14" s="31"/>
      <c r="AB14" s="31" t="s">
        <v>375</v>
      </c>
      <c r="AC14" s="5" t="s">
        <v>52</v>
      </c>
      <c r="AD14" s="31" t="s">
        <v>238</v>
      </c>
      <c r="AE14" s="36" t="s">
        <v>239</v>
      </c>
      <c r="AF14" s="31" t="s">
        <v>376</v>
      </c>
      <c r="AG14" s="31"/>
      <c r="AH14" s="31"/>
      <c r="AI14" s="31"/>
      <c r="AJ14" s="31" t="s">
        <v>241</v>
      </c>
      <c r="AK14" s="31" t="s">
        <v>238</v>
      </c>
      <c r="AL14" s="31"/>
      <c r="AM14" s="31"/>
      <c r="AN14" s="31"/>
      <c r="AO14" s="31"/>
      <c r="AP14" s="31"/>
      <c r="AQ14" s="31" t="s">
        <v>242</v>
      </c>
      <c r="AR14" s="31"/>
      <c r="AS14" s="30"/>
      <c r="AT14" s="37"/>
      <c r="AU14" s="37">
        <v>6</v>
      </c>
      <c r="AV14" s="37"/>
      <c r="AW14" s="37"/>
      <c r="AX14" s="37"/>
      <c r="AY14" s="38"/>
      <c r="AZ14" s="38"/>
      <c r="BA14" s="38"/>
      <c r="BB14" s="46"/>
      <c r="BC14" s="37"/>
      <c r="BD14" s="37"/>
      <c r="BE14" s="5"/>
      <c r="BF14" s="5"/>
      <c r="BG14" s="47" t="s">
        <v>377</v>
      </c>
      <c r="BH14" s="47"/>
      <c r="BI14" s="31" t="s">
        <v>378</v>
      </c>
      <c r="BJ14" s="48" t="s">
        <v>242</v>
      </c>
      <c r="BK14" s="49">
        <v>1</v>
      </c>
    </row>
    <row x14ac:dyDescent="0.25" r="15" customHeight="1" ht="120.75">
      <c r="A15" s="30" t="s">
        <v>379</v>
      </c>
      <c r="B15" s="5" t="s">
        <v>380</v>
      </c>
      <c r="C15" s="31" t="s">
        <v>381</v>
      </c>
      <c r="D15" s="31" t="s">
        <v>382</v>
      </c>
      <c r="E15" s="5"/>
      <c r="F15" s="5" t="s">
        <v>226</v>
      </c>
      <c r="G15" s="5" t="s">
        <v>247</v>
      </c>
      <c r="H15" s="31" t="s">
        <v>383</v>
      </c>
      <c r="I15" s="32"/>
      <c r="J15" s="32"/>
      <c r="K15" s="5"/>
      <c r="L15" s="5"/>
      <c r="M15" s="5" t="s">
        <v>231</v>
      </c>
      <c r="N15" s="5" t="s">
        <v>250</v>
      </c>
      <c r="O15" s="33"/>
      <c r="P15" s="5"/>
      <c r="Q15" s="1" t="s">
        <v>251</v>
      </c>
      <c r="R15" s="31" t="s">
        <v>286</v>
      </c>
      <c r="S15" s="31"/>
      <c r="T15" s="31" t="s">
        <v>384</v>
      </c>
      <c r="U15" s="31" t="s">
        <v>385</v>
      </c>
      <c r="V15" s="5"/>
      <c r="W15" s="34">
        <v>0</v>
      </c>
      <c r="X15" s="31" t="s">
        <v>386</v>
      </c>
      <c r="Y15" s="5" t="s">
        <v>256</v>
      </c>
      <c r="Z15" s="38" t="s">
        <v>386</v>
      </c>
      <c r="AA15" s="31" t="s">
        <v>387</v>
      </c>
      <c r="AB15" s="31" t="s">
        <v>366</v>
      </c>
      <c r="AC15" s="5" t="s">
        <v>52</v>
      </c>
      <c r="AD15" s="31" t="s">
        <v>259</v>
      </c>
      <c r="AE15" s="36" t="s">
        <v>260</v>
      </c>
      <c r="AF15" s="31" t="s">
        <v>367</v>
      </c>
      <c r="AG15" s="31"/>
      <c r="AH15" s="31"/>
      <c r="AI15" s="31"/>
      <c r="AJ15" s="5" t="s">
        <v>262</v>
      </c>
      <c r="AK15" s="5" t="s">
        <v>259</v>
      </c>
      <c r="AL15" s="31"/>
      <c r="AM15" s="31"/>
      <c r="AN15" s="31"/>
      <c r="AO15" s="31"/>
      <c r="AP15" s="31"/>
      <c r="AQ15" s="31" t="s">
        <v>242</v>
      </c>
      <c r="AR15" s="31"/>
      <c r="AS15" s="30"/>
      <c r="AT15" s="37"/>
      <c r="AU15" s="37"/>
      <c r="AV15" s="37"/>
      <c r="AW15" s="37">
        <v>4</v>
      </c>
      <c r="AX15" s="37"/>
      <c r="AY15" s="38"/>
      <c r="AZ15" s="38"/>
      <c r="BA15" s="38"/>
      <c r="BB15" s="1"/>
      <c r="BC15" s="37"/>
      <c r="BD15" s="37"/>
      <c r="BE15" s="5"/>
      <c r="BF15" s="5"/>
      <c r="BG15" s="31"/>
      <c r="BH15" s="31"/>
      <c r="BI15" s="31"/>
      <c r="BJ15" s="31" t="s">
        <v>242</v>
      </c>
      <c r="BK15" s="30">
        <v>1</v>
      </c>
    </row>
    <row x14ac:dyDescent="0.25" r="16" customHeight="1" ht="57">
      <c r="A16" s="30">
        <v>10076</v>
      </c>
      <c r="B16" s="5" t="s">
        <v>388</v>
      </c>
      <c r="C16" s="31" t="s">
        <v>389</v>
      </c>
      <c r="D16" s="31" t="s">
        <v>390</v>
      </c>
      <c r="E16" s="5"/>
      <c r="F16" s="5" t="s">
        <v>226</v>
      </c>
      <c r="G16" s="5" t="s">
        <v>247</v>
      </c>
      <c r="H16" s="31" t="s">
        <v>391</v>
      </c>
      <c r="I16" s="32"/>
      <c r="J16" s="32"/>
      <c r="K16" s="5"/>
      <c r="L16" s="5"/>
      <c r="M16" s="5" t="s">
        <v>231</v>
      </c>
      <c r="N16" s="5" t="s">
        <v>250</v>
      </c>
      <c r="O16" s="33"/>
      <c r="P16" s="5"/>
      <c r="Q16" s="1" t="s">
        <v>233</v>
      </c>
      <c r="R16" s="31" t="s">
        <v>233</v>
      </c>
      <c r="S16" s="31"/>
      <c r="T16" s="31"/>
      <c r="U16" s="31" t="s">
        <v>392</v>
      </c>
      <c r="V16" s="5"/>
      <c r="W16" s="40">
        <v>1</v>
      </c>
      <c r="X16" s="41" t="s">
        <v>255</v>
      </c>
      <c r="Y16" s="42" t="s">
        <v>256</v>
      </c>
      <c r="Z16" s="35">
        <v>0</v>
      </c>
      <c r="AA16" s="31" t="s">
        <v>393</v>
      </c>
      <c r="AB16" s="31" t="s">
        <v>394</v>
      </c>
      <c r="AC16" s="5" t="s">
        <v>52</v>
      </c>
      <c r="AD16" s="31" t="s">
        <v>238</v>
      </c>
      <c r="AE16" s="36" t="s">
        <v>395</v>
      </c>
      <c r="AF16" s="31" t="s">
        <v>396</v>
      </c>
      <c r="AG16" s="31"/>
      <c r="AH16" s="31"/>
      <c r="AI16" s="31"/>
      <c r="AJ16" s="31" t="s">
        <v>241</v>
      </c>
      <c r="AK16" s="31" t="s">
        <v>238</v>
      </c>
      <c r="AL16" s="31"/>
      <c r="AM16" s="31"/>
      <c r="AN16" s="31"/>
      <c r="AO16" s="31"/>
      <c r="AP16" s="31"/>
      <c r="AQ16" s="31" t="s">
        <v>242</v>
      </c>
      <c r="AR16" s="31"/>
      <c r="AS16" s="30"/>
      <c r="AT16" s="37"/>
      <c r="AU16" s="37"/>
      <c r="AV16" s="37"/>
      <c r="AW16" s="37">
        <v>8</v>
      </c>
      <c r="AX16" s="37"/>
      <c r="AY16" s="38"/>
      <c r="AZ16" s="38"/>
      <c r="BA16" s="38"/>
      <c r="BB16" s="46"/>
      <c r="BC16" s="37"/>
      <c r="BD16" s="37"/>
      <c r="BE16" s="5"/>
      <c r="BF16" s="5"/>
      <c r="BG16" s="31" t="s">
        <v>397</v>
      </c>
      <c r="BH16" s="31"/>
      <c r="BI16" s="31" t="s">
        <v>397</v>
      </c>
      <c r="BJ16" s="48" t="s">
        <v>242</v>
      </c>
      <c r="BK16" s="49">
        <v>1</v>
      </c>
    </row>
    <row x14ac:dyDescent="0.25" r="17" customHeight="1" ht="31.5">
      <c r="A17" s="30">
        <v>10080</v>
      </c>
      <c r="B17" s="5" t="s">
        <v>398</v>
      </c>
      <c r="C17" s="31" t="s">
        <v>399</v>
      </c>
      <c r="D17" s="31" t="s">
        <v>400</v>
      </c>
      <c r="E17" s="5"/>
      <c r="F17" s="5" t="s">
        <v>226</v>
      </c>
      <c r="G17" s="31" t="s">
        <v>247</v>
      </c>
      <c r="H17" s="31" t="s">
        <v>401</v>
      </c>
      <c r="I17" s="32"/>
      <c r="J17" s="32"/>
      <c r="K17" s="5"/>
      <c r="L17" s="5"/>
      <c r="M17" s="5" t="s">
        <v>231</v>
      </c>
      <c r="N17" s="5" t="s">
        <v>250</v>
      </c>
      <c r="O17" s="33"/>
      <c r="P17" s="5"/>
      <c r="Q17" s="1" t="s">
        <v>251</v>
      </c>
      <c r="R17" s="31" t="s">
        <v>286</v>
      </c>
      <c r="S17" s="31"/>
      <c r="T17" s="31"/>
      <c r="U17" s="31" t="s">
        <v>402</v>
      </c>
      <c r="V17" s="5"/>
      <c r="W17" s="40">
        <v>1</v>
      </c>
      <c r="X17" s="41" t="s">
        <v>255</v>
      </c>
      <c r="Y17" s="42" t="s">
        <v>256</v>
      </c>
      <c r="Z17" s="35">
        <v>0</v>
      </c>
      <c r="AA17" s="31" t="s">
        <v>403</v>
      </c>
      <c r="AB17" s="5" t="s">
        <v>404</v>
      </c>
      <c r="AC17" s="5" t="s">
        <v>52</v>
      </c>
      <c r="AD17" s="31" t="s">
        <v>259</v>
      </c>
      <c r="AE17" s="36" t="s">
        <v>405</v>
      </c>
      <c r="AF17" s="31" t="s">
        <v>292</v>
      </c>
      <c r="AG17" s="31" t="s">
        <v>48</v>
      </c>
      <c r="AH17" s="31"/>
      <c r="AI17" s="31"/>
      <c r="AJ17" s="5"/>
      <c r="AK17" s="5" t="s">
        <v>260</v>
      </c>
      <c r="AL17" s="5"/>
      <c r="AM17" s="5"/>
      <c r="AN17" s="5"/>
      <c r="AO17" s="5"/>
      <c r="AP17" s="5"/>
      <c r="AQ17" s="55" t="s">
        <v>242</v>
      </c>
      <c r="AR17" s="5"/>
      <c r="AS17" s="30"/>
      <c r="AT17" s="37"/>
      <c r="AU17" s="37"/>
      <c r="AV17" s="37"/>
      <c r="AW17" s="37">
        <v>9</v>
      </c>
      <c r="AX17" s="37"/>
      <c r="AY17" s="38"/>
      <c r="AZ17" s="38"/>
      <c r="BA17" s="38"/>
      <c r="BB17" s="46"/>
      <c r="BC17" s="37"/>
      <c r="BD17" s="37"/>
      <c r="BE17" s="5"/>
      <c r="BF17" s="5"/>
      <c r="BG17" s="56" t="s">
        <v>406</v>
      </c>
      <c r="BH17" s="47"/>
      <c r="BI17" s="31" t="s">
        <v>406</v>
      </c>
      <c r="BJ17" s="48" t="s">
        <v>242</v>
      </c>
      <c r="BK17" s="49">
        <v>1</v>
      </c>
    </row>
    <row x14ac:dyDescent="0.25" r="18" customHeight="1" ht="31.5">
      <c r="A18" s="30">
        <v>10078</v>
      </c>
      <c r="B18" s="5" t="s">
        <v>407</v>
      </c>
      <c r="C18" s="31" t="s">
        <v>408</v>
      </c>
      <c r="D18" s="31" t="s">
        <v>409</v>
      </c>
      <c r="E18" s="5"/>
      <c r="F18" s="5" t="s">
        <v>226</v>
      </c>
      <c r="G18" s="31" t="s">
        <v>247</v>
      </c>
      <c r="H18" s="31" t="s">
        <v>410</v>
      </c>
      <c r="I18" s="32"/>
      <c r="J18" s="32"/>
      <c r="K18" s="5"/>
      <c r="L18" s="5"/>
      <c r="M18" s="5" t="s">
        <v>231</v>
      </c>
      <c r="N18" s="5" t="s">
        <v>250</v>
      </c>
      <c r="O18" s="33"/>
      <c r="P18" s="5"/>
      <c r="Q18" s="1" t="s">
        <v>251</v>
      </c>
      <c r="R18" s="31" t="s">
        <v>286</v>
      </c>
      <c r="S18" s="31"/>
      <c r="T18" s="31"/>
      <c r="U18" s="31" t="s">
        <v>411</v>
      </c>
      <c r="V18" s="5"/>
      <c r="W18" s="40">
        <v>1</v>
      </c>
      <c r="X18" s="41" t="s">
        <v>255</v>
      </c>
      <c r="Y18" s="42" t="s">
        <v>256</v>
      </c>
      <c r="Z18" s="34">
        <v>0</v>
      </c>
      <c r="AA18" s="31" t="s">
        <v>412</v>
      </c>
      <c r="AB18" s="5" t="s">
        <v>413</v>
      </c>
      <c r="AC18" s="5" t="s">
        <v>52</v>
      </c>
      <c r="AD18" s="31" t="s">
        <v>259</v>
      </c>
      <c r="AE18" s="36" t="s">
        <v>405</v>
      </c>
      <c r="AF18" s="31" t="s">
        <v>292</v>
      </c>
      <c r="AG18" s="31" t="s">
        <v>20</v>
      </c>
      <c r="AH18" s="31"/>
      <c r="AI18" s="31"/>
      <c r="AJ18" s="5"/>
      <c r="AK18" s="5" t="s">
        <v>260</v>
      </c>
      <c r="AL18" s="31"/>
      <c r="AM18" s="31"/>
      <c r="AN18" s="31"/>
      <c r="AO18" s="31"/>
      <c r="AP18" s="31"/>
      <c r="AQ18" s="55" t="s">
        <v>242</v>
      </c>
      <c r="AR18" s="31"/>
      <c r="AS18" s="30"/>
      <c r="AT18" s="37"/>
      <c r="AU18" s="37"/>
      <c r="AV18" s="37"/>
      <c r="AW18" s="37">
        <v>11</v>
      </c>
      <c r="AX18" s="37"/>
      <c r="AY18" s="38"/>
      <c r="AZ18" s="38"/>
      <c r="BA18" s="38"/>
      <c r="BB18" s="46"/>
      <c r="BC18" s="37"/>
      <c r="BD18" s="37"/>
      <c r="BE18" s="5"/>
      <c r="BF18" s="5"/>
      <c r="BG18" s="56" t="s">
        <v>414</v>
      </c>
      <c r="BH18" s="47"/>
      <c r="BI18" s="31" t="s">
        <v>414</v>
      </c>
      <c r="BJ18" s="48" t="s">
        <v>242</v>
      </c>
      <c r="BK18" s="49">
        <v>1</v>
      </c>
    </row>
    <row x14ac:dyDescent="0.25" r="19" customHeight="1" ht="31.5">
      <c r="A19" s="30">
        <v>10079</v>
      </c>
      <c r="B19" s="5" t="s">
        <v>415</v>
      </c>
      <c r="C19" s="31" t="s">
        <v>416</v>
      </c>
      <c r="D19" s="31" t="s">
        <v>417</v>
      </c>
      <c r="E19" s="5"/>
      <c r="F19" s="5" t="s">
        <v>226</v>
      </c>
      <c r="G19" s="31" t="s">
        <v>247</v>
      </c>
      <c r="H19" s="31" t="s">
        <v>418</v>
      </c>
      <c r="I19" s="32"/>
      <c r="J19" s="32"/>
      <c r="K19" s="5"/>
      <c r="L19" s="5"/>
      <c r="M19" s="5" t="s">
        <v>231</v>
      </c>
      <c r="N19" s="5" t="s">
        <v>250</v>
      </c>
      <c r="O19" s="33"/>
      <c r="P19" s="5"/>
      <c r="Q19" s="1" t="s">
        <v>251</v>
      </c>
      <c r="R19" s="31" t="s">
        <v>286</v>
      </c>
      <c r="S19" s="31"/>
      <c r="T19" s="31"/>
      <c r="U19" s="31" t="s">
        <v>419</v>
      </c>
      <c r="V19" s="5"/>
      <c r="W19" s="40">
        <v>1</v>
      </c>
      <c r="X19" s="41" t="s">
        <v>255</v>
      </c>
      <c r="Y19" s="42" t="s">
        <v>256</v>
      </c>
      <c r="Z19" s="34">
        <v>0</v>
      </c>
      <c r="AA19" s="31" t="s">
        <v>420</v>
      </c>
      <c r="AB19" s="5" t="s">
        <v>421</v>
      </c>
      <c r="AC19" s="5" t="s">
        <v>52</v>
      </c>
      <c r="AD19" s="31" t="s">
        <v>259</v>
      </c>
      <c r="AE19" s="36" t="s">
        <v>405</v>
      </c>
      <c r="AF19" s="31" t="s">
        <v>292</v>
      </c>
      <c r="AG19" s="31" t="s">
        <v>34</v>
      </c>
      <c r="AH19" s="31"/>
      <c r="AI19" s="31"/>
      <c r="AJ19" s="5"/>
      <c r="AK19" s="5" t="s">
        <v>260</v>
      </c>
      <c r="AL19" s="31"/>
      <c r="AM19" s="31"/>
      <c r="AN19" s="31"/>
      <c r="AO19" s="31"/>
      <c r="AP19" s="31"/>
      <c r="AQ19" s="55" t="s">
        <v>242</v>
      </c>
      <c r="AR19" s="31"/>
      <c r="AS19" s="30"/>
      <c r="AT19" s="37"/>
      <c r="AU19" s="37"/>
      <c r="AV19" s="37"/>
      <c r="AW19" s="37">
        <v>12</v>
      </c>
      <c r="AX19" s="37"/>
      <c r="AY19" s="38"/>
      <c r="AZ19" s="38"/>
      <c r="BA19" s="38"/>
      <c r="BB19" s="46"/>
      <c r="BC19" s="37"/>
      <c r="BD19" s="37"/>
      <c r="BE19" s="5"/>
      <c r="BF19" s="5"/>
      <c r="BG19" s="56" t="s">
        <v>422</v>
      </c>
      <c r="BH19" s="47"/>
      <c r="BI19" s="31" t="s">
        <v>422</v>
      </c>
      <c r="BJ19" s="48" t="s">
        <v>242</v>
      </c>
      <c r="BK19" s="49">
        <v>1</v>
      </c>
    </row>
    <row x14ac:dyDescent="0.25" r="20" customHeight="1" ht="31.5">
      <c r="A20" s="30">
        <v>10086</v>
      </c>
      <c r="B20" s="5" t="s">
        <v>423</v>
      </c>
      <c r="C20" s="31" t="s">
        <v>424</v>
      </c>
      <c r="D20" s="31" t="s">
        <v>425</v>
      </c>
      <c r="E20" s="5"/>
      <c r="F20" s="5" t="s">
        <v>226</v>
      </c>
      <c r="G20" s="31" t="s">
        <v>247</v>
      </c>
      <c r="H20" s="31" t="s">
        <v>426</v>
      </c>
      <c r="I20" s="32"/>
      <c r="J20" s="32"/>
      <c r="K20" s="5"/>
      <c r="L20" s="5"/>
      <c r="M20" s="5" t="s">
        <v>231</v>
      </c>
      <c r="N20" s="5" t="s">
        <v>250</v>
      </c>
      <c r="O20" s="33"/>
      <c r="P20" s="5"/>
      <c r="Q20" s="1" t="s">
        <v>251</v>
      </c>
      <c r="R20" s="31" t="s">
        <v>286</v>
      </c>
      <c r="S20" s="31"/>
      <c r="T20" s="31"/>
      <c r="U20" s="31" t="s">
        <v>427</v>
      </c>
      <c r="V20" s="5"/>
      <c r="W20" s="40">
        <v>1</v>
      </c>
      <c r="X20" s="41" t="s">
        <v>255</v>
      </c>
      <c r="Y20" s="42" t="s">
        <v>256</v>
      </c>
      <c r="Z20" s="34">
        <v>0</v>
      </c>
      <c r="AA20" s="31" t="s">
        <v>428</v>
      </c>
      <c r="AB20" s="5" t="s">
        <v>429</v>
      </c>
      <c r="AC20" s="5" t="s">
        <v>52</v>
      </c>
      <c r="AD20" s="31" t="s">
        <v>259</v>
      </c>
      <c r="AE20" s="36" t="s">
        <v>405</v>
      </c>
      <c r="AF20" s="31" t="s">
        <v>292</v>
      </c>
      <c r="AG20" s="31" t="s">
        <v>72</v>
      </c>
      <c r="AH20" s="31"/>
      <c r="AI20" s="31"/>
      <c r="AJ20" s="5"/>
      <c r="AK20" s="5" t="s">
        <v>260</v>
      </c>
      <c r="AL20" s="31"/>
      <c r="AM20" s="31"/>
      <c r="AN20" s="31"/>
      <c r="AO20" s="31"/>
      <c r="AP20" s="31"/>
      <c r="AQ20" s="55" t="s">
        <v>242</v>
      </c>
      <c r="AR20" s="31"/>
      <c r="AS20" s="30"/>
      <c r="AT20" s="37"/>
      <c r="AU20" s="37"/>
      <c r="AV20" s="37"/>
      <c r="AW20" s="37">
        <v>15</v>
      </c>
      <c r="AX20" s="37"/>
      <c r="AY20" s="38"/>
      <c r="AZ20" s="38"/>
      <c r="BA20" s="38"/>
      <c r="BB20" s="46"/>
      <c r="BC20" s="37"/>
      <c r="BD20" s="37"/>
      <c r="BE20" s="5"/>
      <c r="BF20" s="5"/>
      <c r="BG20" s="56" t="s">
        <v>430</v>
      </c>
      <c r="BH20" s="47"/>
      <c r="BI20" s="31" t="s">
        <v>430</v>
      </c>
      <c r="BJ20" s="48" t="s">
        <v>242</v>
      </c>
      <c r="BK20" s="49">
        <v>1</v>
      </c>
    </row>
    <row x14ac:dyDescent="0.25" r="21" customHeight="1" ht="31.5">
      <c r="A21" s="30" t="s">
        <v>431</v>
      </c>
      <c r="B21" s="5" t="s">
        <v>432</v>
      </c>
      <c r="C21" s="31" t="s">
        <v>433</v>
      </c>
      <c r="D21" s="31" t="s">
        <v>434</v>
      </c>
      <c r="E21" s="5"/>
      <c r="F21" s="5" t="s">
        <v>435</v>
      </c>
      <c r="G21" s="31" t="s">
        <v>247</v>
      </c>
      <c r="H21" s="31" t="s">
        <v>436</v>
      </c>
      <c r="I21" s="32"/>
      <c r="J21" s="32"/>
      <c r="K21" s="5"/>
      <c r="L21" s="5"/>
      <c r="M21" s="5" t="s">
        <v>231</v>
      </c>
      <c r="N21" s="5" t="s">
        <v>250</v>
      </c>
      <c r="O21" s="33"/>
      <c r="P21" s="5"/>
      <c r="Q21" s="1" t="s">
        <v>251</v>
      </c>
      <c r="R21" s="31" t="s">
        <v>286</v>
      </c>
      <c r="S21" s="31"/>
      <c r="T21" s="31"/>
      <c r="U21" s="31" t="s">
        <v>437</v>
      </c>
      <c r="V21" s="5"/>
      <c r="W21" s="40">
        <v>1</v>
      </c>
      <c r="X21" s="41" t="s">
        <v>255</v>
      </c>
      <c r="Y21" s="42"/>
      <c r="Z21" s="34">
        <v>0</v>
      </c>
      <c r="AA21" s="31" t="s">
        <v>438</v>
      </c>
      <c r="AB21" s="31" t="s">
        <v>439</v>
      </c>
      <c r="AC21" s="5" t="s">
        <v>76</v>
      </c>
      <c r="AD21" s="31" t="s">
        <v>259</v>
      </c>
      <c r="AE21" s="36" t="s">
        <v>440</v>
      </c>
      <c r="AF21" s="31" t="s">
        <v>441</v>
      </c>
      <c r="AG21" s="31"/>
      <c r="AH21" s="31"/>
      <c r="AI21" s="31"/>
      <c r="AJ21" s="5" t="s">
        <v>262</v>
      </c>
      <c r="AK21" s="5" t="s">
        <v>259</v>
      </c>
      <c r="AL21" s="31"/>
      <c r="AM21" s="31"/>
      <c r="AN21" s="31"/>
      <c r="AO21" s="31"/>
      <c r="AP21" s="31"/>
      <c r="AQ21" s="55"/>
      <c r="AR21" s="31"/>
      <c r="AS21" s="30"/>
      <c r="AT21" s="37"/>
      <c r="AU21" s="37"/>
      <c r="AV21" s="37"/>
      <c r="AW21" s="37">
        <v>17</v>
      </c>
      <c r="AX21" s="37"/>
      <c r="AY21" s="38"/>
      <c r="AZ21" s="38"/>
      <c r="BA21" s="38"/>
      <c r="BB21" s="46"/>
      <c r="BC21" s="37"/>
      <c r="BD21" s="37"/>
      <c r="BE21" s="5"/>
      <c r="BF21" s="5"/>
      <c r="BG21" s="47" t="s">
        <v>433</v>
      </c>
      <c r="BH21" s="47"/>
      <c r="BI21" s="31" t="s">
        <v>433</v>
      </c>
      <c r="BJ21" s="48"/>
      <c r="BK21" s="49">
        <v>1</v>
      </c>
    </row>
    <row x14ac:dyDescent="0.25" r="22" customHeight="1" ht="31.5">
      <c r="A22" s="30">
        <v>10087</v>
      </c>
      <c r="B22" s="5" t="s">
        <v>442</v>
      </c>
      <c r="C22" s="31" t="s">
        <v>443</v>
      </c>
      <c r="D22" s="31" t="s">
        <v>444</v>
      </c>
      <c r="E22" s="5"/>
      <c r="F22" s="5" t="s">
        <v>226</v>
      </c>
      <c r="G22" s="31" t="s">
        <v>247</v>
      </c>
      <c r="H22" s="31" t="s">
        <v>445</v>
      </c>
      <c r="I22" s="32"/>
      <c r="J22" s="32"/>
      <c r="K22" s="5"/>
      <c r="L22" s="5"/>
      <c r="M22" s="5" t="s">
        <v>231</v>
      </c>
      <c r="N22" s="5" t="s">
        <v>250</v>
      </c>
      <c r="O22" s="33"/>
      <c r="P22" s="5"/>
      <c r="Q22" s="1" t="s">
        <v>251</v>
      </c>
      <c r="R22" s="31" t="s">
        <v>286</v>
      </c>
      <c r="S22" s="31"/>
      <c r="T22" s="31"/>
      <c r="U22" s="31" t="s">
        <v>446</v>
      </c>
      <c r="V22" s="5"/>
      <c r="W22" s="40">
        <v>1</v>
      </c>
      <c r="X22" s="41" t="s">
        <v>255</v>
      </c>
      <c r="Y22" s="42" t="s">
        <v>256</v>
      </c>
      <c r="Z22" s="34">
        <v>0</v>
      </c>
      <c r="AA22" s="31" t="s">
        <v>447</v>
      </c>
      <c r="AB22" s="57" t="s">
        <v>448</v>
      </c>
      <c r="AC22" s="5" t="s">
        <v>52</v>
      </c>
      <c r="AD22" s="31" t="s">
        <v>259</v>
      </c>
      <c r="AE22" s="36" t="s">
        <v>405</v>
      </c>
      <c r="AF22" s="31" t="s">
        <v>292</v>
      </c>
      <c r="AG22" s="31" t="s">
        <v>84</v>
      </c>
      <c r="AH22" s="31"/>
      <c r="AI22" s="31"/>
      <c r="AJ22" s="5"/>
      <c r="AK22" s="5" t="s">
        <v>260</v>
      </c>
      <c r="AL22" s="31"/>
      <c r="AM22" s="31"/>
      <c r="AN22" s="31"/>
      <c r="AO22" s="31"/>
      <c r="AP22" s="31"/>
      <c r="AQ22" s="55" t="s">
        <v>242</v>
      </c>
      <c r="AR22" s="31"/>
      <c r="AS22" s="30"/>
      <c r="AT22" s="37"/>
      <c r="AU22" s="37"/>
      <c r="AV22" s="37"/>
      <c r="AW22" s="37">
        <v>18</v>
      </c>
      <c r="AX22" s="37"/>
      <c r="AY22" s="38"/>
      <c r="AZ22" s="38"/>
      <c r="BA22" s="38"/>
      <c r="BB22" s="46"/>
      <c r="BC22" s="37"/>
      <c r="BD22" s="37"/>
      <c r="BE22" s="5"/>
      <c r="BF22" s="5"/>
      <c r="BG22" s="56" t="s">
        <v>449</v>
      </c>
      <c r="BH22" s="47"/>
      <c r="BI22" s="31" t="s">
        <v>449</v>
      </c>
      <c r="BJ22" s="48" t="s">
        <v>242</v>
      </c>
      <c r="BK22" s="49">
        <v>1</v>
      </c>
    </row>
    <row x14ac:dyDescent="0.25" r="23" customHeight="1" ht="31.5">
      <c r="A23" s="30" t="s">
        <v>450</v>
      </c>
      <c r="B23" s="5" t="s">
        <v>451</v>
      </c>
      <c r="C23" s="31" t="s">
        <v>452</v>
      </c>
      <c r="D23" s="31" t="s">
        <v>453</v>
      </c>
      <c r="E23" s="5"/>
      <c r="F23" s="5" t="s">
        <v>435</v>
      </c>
      <c r="G23" s="31" t="s">
        <v>247</v>
      </c>
      <c r="H23" s="31" t="s">
        <v>454</v>
      </c>
      <c r="I23" s="32"/>
      <c r="J23" s="32"/>
      <c r="K23" s="5"/>
      <c r="L23" s="5"/>
      <c r="M23" s="5" t="s">
        <v>231</v>
      </c>
      <c r="N23" s="5" t="s">
        <v>250</v>
      </c>
      <c r="O23" s="33"/>
      <c r="P23" s="5"/>
      <c r="Q23" s="1" t="s">
        <v>251</v>
      </c>
      <c r="R23" s="31" t="s">
        <v>286</v>
      </c>
      <c r="S23" s="31"/>
      <c r="T23" s="31"/>
      <c r="U23" s="31" t="s">
        <v>455</v>
      </c>
      <c r="V23" s="5"/>
      <c r="W23" s="40">
        <v>1</v>
      </c>
      <c r="X23" s="41" t="s">
        <v>255</v>
      </c>
      <c r="Y23" s="42"/>
      <c r="Z23" s="34">
        <v>0</v>
      </c>
      <c r="AA23" s="31" t="s">
        <v>456</v>
      </c>
      <c r="AB23" s="31" t="s">
        <v>457</v>
      </c>
      <c r="AC23" s="5" t="s">
        <v>76</v>
      </c>
      <c r="AD23" s="31" t="s">
        <v>259</v>
      </c>
      <c r="AE23" s="36" t="s">
        <v>440</v>
      </c>
      <c r="AF23" s="31" t="s">
        <v>458</v>
      </c>
      <c r="AG23" s="31"/>
      <c r="AH23" s="31"/>
      <c r="AI23" s="31"/>
      <c r="AJ23" s="5" t="s">
        <v>262</v>
      </c>
      <c r="AK23" s="5" t="s">
        <v>259</v>
      </c>
      <c r="AL23" s="31"/>
      <c r="AM23" s="31"/>
      <c r="AN23" s="31"/>
      <c r="AO23" s="31"/>
      <c r="AP23" s="31"/>
      <c r="AQ23" s="55"/>
      <c r="AR23" s="31"/>
      <c r="AS23" s="30"/>
      <c r="AT23" s="37"/>
      <c r="AU23" s="37"/>
      <c r="AV23" s="37"/>
      <c r="AW23" s="37">
        <v>20</v>
      </c>
      <c r="AX23" s="37"/>
      <c r="AY23" s="38"/>
      <c r="AZ23" s="38"/>
      <c r="BA23" s="38"/>
      <c r="BB23" s="46"/>
      <c r="BC23" s="37"/>
      <c r="BD23" s="37"/>
      <c r="BE23" s="5"/>
      <c r="BF23" s="5"/>
      <c r="BG23" s="47" t="s">
        <v>452</v>
      </c>
      <c r="BH23" s="47"/>
      <c r="BI23" s="31" t="s">
        <v>452</v>
      </c>
      <c r="BJ23" s="48"/>
      <c r="BK23" s="49">
        <v>1</v>
      </c>
    </row>
    <row x14ac:dyDescent="0.25" r="24" customHeight="1" ht="31.5">
      <c r="A24" s="30" t="s">
        <v>459</v>
      </c>
      <c r="B24" s="5" t="s">
        <v>460</v>
      </c>
      <c r="C24" s="31" t="s">
        <v>461</v>
      </c>
      <c r="D24" s="31" t="s">
        <v>462</v>
      </c>
      <c r="E24" s="5"/>
      <c r="F24" s="5" t="s">
        <v>226</v>
      </c>
      <c r="G24" s="5" t="s">
        <v>247</v>
      </c>
      <c r="H24" s="31" t="s">
        <v>463</v>
      </c>
      <c r="I24" s="32"/>
      <c r="J24" s="32"/>
      <c r="K24" s="5"/>
      <c r="L24" s="5"/>
      <c r="M24" s="5" t="s">
        <v>231</v>
      </c>
      <c r="N24" s="5" t="s">
        <v>250</v>
      </c>
      <c r="O24" s="33"/>
      <c r="P24" s="5"/>
      <c r="Q24" s="1" t="s">
        <v>233</v>
      </c>
      <c r="R24" s="31" t="s">
        <v>233</v>
      </c>
      <c r="S24" s="31"/>
      <c r="T24" s="31" t="s">
        <v>464</v>
      </c>
      <c r="U24" s="31" t="s">
        <v>465</v>
      </c>
      <c r="V24" s="5"/>
      <c r="W24" s="40">
        <v>1</v>
      </c>
      <c r="X24" s="41" t="s">
        <v>255</v>
      </c>
      <c r="Y24" s="42" t="s">
        <v>256</v>
      </c>
      <c r="Z24" s="35">
        <v>0</v>
      </c>
      <c r="AA24" s="31" t="s">
        <v>466</v>
      </c>
      <c r="AB24" s="31" t="s">
        <v>467</v>
      </c>
      <c r="AC24" s="5" t="s">
        <v>52</v>
      </c>
      <c r="AD24" s="31" t="s">
        <v>238</v>
      </c>
      <c r="AE24" s="36" t="s">
        <v>468</v>
      </c>
      <c r="AF24" s="31" t="s">
        <v>469</v>
      </c>
      <c r="AG24" s="31"/>
      <c r="AH24" s="31"/>
      <c r="AI24" s="31"/>
      <c r="AJ24" s="31" t="s">
        <v>241</v>
      </c>
      <c r="AK24" s="31" t="s">
        <v>238</v>
      </c>
      <c r="AL24" s="31"/>
      <c r="AM24" s="31"/>
      <c r="AN24" s="31"/>
      <c r="AO24" s="31"/>
      <c r="AP24" s="31"/>
      <c r="AQ24" s="31" t="s">
        <v>242</v>
      </c>
      <c r="AR24" s="31"/>
      <c r="AS24" s="30"/>
      <c r="AT24" s="37"/>
      <c r="AU24" s="37"/>
      <c r="AV24" s="37"/>
      <c r="AW24" s="37">
        <v>19</v>
      </c>
      <c r="AX24" s="37"/>
      <c r="AY24" s="38"/>
      <c r="AZ24" s="38"/>
      <c r="BA24" s="38"/>
      <c r="BB24" s="46"/>
      <c r="BC24" s="37"/>
      <c r="BD24" s="37"/>
      <c r="BE24" s="5"/>
      <c r="BF24" s="5"/>
      <c r="BG24" s="47" t="s">
        <v>470</v>
      </c>
      <c r="BH24" s="47"/>
      <c r="BI24" s="31" t="s">
        <v>470</v>
      </c>
      <c r="BJ24" s="48" t="s">
        <v>242</v>
      </c>
      <c r="BK24" s="49">
        <v>1</v>
      </c>
    </row>
    <row x14ac:dyDescent="0.25" r="25" customHeight="1" ht="31.5">
      <c r="A25" s="30" t="s">
        <v>471</v>
      </c>
      <c r="B25" s="5" t="s">
        <v>472</v>
      </c>
      <c r="C25" s="31" t="s">
        <v>473</v>
      </c>
      <c r="D25" s="31" t="s">
        <v>474</v>
      </c>
      <c r="E25" s="5"/>
      <c r="F25" s="5" t="s">
        <v>282</v>
      </c>
      <c r="G25" s="5" t="s">
        <v>247</v>
      </c>
      <c r="H25" s="31" t="s">
        <v>475</v>
      </c>
      <c r="I25" s="32"/>
      <c r="J25" s="32"/>
      <c r="K25" s="5"/>
      <c r="L25" s="5"/>
      <c r="M25" s="5" t="s">
        <v>231</v>
      </c>
      <c r="N25" s="5" t="s">
        <v>250</v>
      </c>
      <c r="O25" s="33"/>
      <c r="P25" s="5"/>
      <c r="Q25" s="1" t="s">
        <v>251</v>
      </c>
      <c r="R25" s="31" t="s">
        <v>252</v>
      </c>
      <c r="S25" s="31"/>
      <c r="T25" s="31"/>
      <c r="U25" s="31" t="s">
        <v>476</v>
      </c>
      <c r="V25" s="5"/>
      <c r="W25" s="40">
        <v>1</v>
      </c>
      <c r="X25" s="41" t="s">
        <v>255</v>
      </c>
      <c r="Y25" s="42" t="s">
        <v>288</v>
      </c>
      <c r="Z25" s="34">
        <v>0</v>
      </c>
      <c r="AA25" s="31" t="s">
        <v>477</v>
      </c>
      <c r="AB25" s="31" t="s">
        <v>478</v>
      </c>
      <c r="AC25" s="5" t="s">
        <v>64</v>
      </c>
      <c r="AD25" s="31" t="s">
        <v>259</v>
      </c>
      <c r="AE25" s="36" t="s">
        <v>260</v>
      </c>
      <c r="AF25" s="31" t="s">
        <v>479</v>
      </c>
      <c r="AG25" s="31"/>
      <c r="AH25" s="31"/>
      <c r="AI25" s="31"/>
      <c r="AJ25" s="5" t="s">
        <v>262</v>
      </c>
      <c r="AK25" s="5" t="s">
        <v>259</v>
      </c>
      <c r="AL25" s="31"/>
      <c r="AM25" s="31"/>
      <c r="AN25" s="31"/>
      <c r="AO25" s="31"/>
      <c r="AP25" s="31"/>
      <c r="AQ25" s="31" t="s">
        <v>242</v>
      </c>
      <c r="AR25" s="31"/>
      <c r="AS25" s="30"/>
      <c r="AT25" s="37"/>
      <c r="AU25" s="37"/>
      <c r="AV25" s="37"/>
      <c r="AW25" s="37">
        <v>16</v>
      </c>
      <c r="AX25" s="37"/>
      <c r="AY25" s="34"/>
      <c r="AZ25" s="38"/>
      <c r="BA25" s="38"/>
      <c r="BB25" s="46"/>
      <c r="BC25" s="37"/>
      <c r="BD25" s="37"/>
      <c r="BE25" s="5"/>
      <c r="BF25" s="5"/>
      <c r="BG25" s="47" t="s">
        <v>480</v>
      </c>
      <c r="BH25" s="47"/>
      <c r="BI25" s="31" t="s">
        <v>480</v>
      </c>
      <c r="BJ25" s="48" t="s">
        <v>242</v>
      </c>
      <c r="BK25" s="49">
        <v>1</v>
      </c>
    </row>
    <row x14ac:dyDescent="0.25" r="26" customHeight="1" ht="31.5">
      <c r="A26" s="30">
        <v>10074</v>
      </c>
      <c r="B26" s="5" t="s">
        <v>481</v>
      </c>
      <c r="C26" s="31" t="s">
        <v>482</v>
      </c>
      <c r="D26" s="31" t="s">
        <v>483</v>
      </c>
      <c r="E26" s="5"/>
      <c r="F26" s="5" t="s">
        <v>226</v>
      </c>
      <c r="G26" s="31" t="s">
        <v>247</v>
      </c>
      <c r="H26" s="31" t="s">
        <v>484</v>
      </c>
      <c r="I26" s="32"/>
      <c r="J26" s="32"/>
      <c r="K26" s="5"/>
      <c r="L26" s="5"/>
      <c r="M26" s="5" t="s">
        <v>231</v>
      </c>
      <c r="N26" s="5" t="s">
        <v>250</v>
      </c>
      <c r="O26" s="33"/>
      <c r="P26" s="5"/>
      <c r="Q26" s="1" t="s">
        <v>251</v>
      </c>
      <c r="R26" s="31" t="s">
        <v>286</v>
      </c>
      <c r="S26" s="31"/>
      <c r="T26" s="31"/>
      <c r="U26" s="31" t="s">
        <v>485</v>
      </c>
      <c r="V26" s="5"/>
      <c r="W26" s="40">
        <v>1</v>
      </c>
      <c r="X26" s="41" t="s">
        <v>255</v>
      </c>
      <c r="Y26" s="42" t="s">
        <v>256</v>
      </c>
      <c r="Z26" s="34">
        <v>0</v>
      </c>
      <c r="AA26" s="31" t="s">
        <v>486</v>
      </c>
      <c r="AB26" s="31" t="s">
        <v>487</v>
      </c>
      <c r="AC26" s="5" t="s">
        <v>52</v>
      </c>
      <c r="AD26" s="31" t="s">
        <v>259</v>
      </c>
      <c r="AE26" s="36" t="s">
        <v>260</v>
      </c>
      <c r="AF26" s="31" t="s">
        <v>488</v>
      </c>
      <c r="AG26" s="31"/>
      <c r="AH26" s="31"/>
      <c r="AI26" s="31"/>
      <c r="AJ26" s="5" t="s">
        <v>262</v>
      </c>
      <c r="AK26" s="5" t="s">
        <v>259</v>
      </c>
      <c r="AL26" s="31"/>
      <c r="AM26" s="31"/>
      <c r="AN26" s="31"/>
      <c r="AO26" s="31"/>
      <c r="AP26" s="31"/>
      <c r="AQ26" s="31" t="s">
        <v>242</v>
      </c>
      <c r="AR26" s="31"/>
      <c r="AS26" s="30"/>
      <c r="AT26" s="37"/>
      <c r="AU26" s="37"/>
      <c r="AV26" s="37"/>
      <c r="AW26" s="37">
        <v>7</v>
      </c>
      <c r="AX26" s="37"/>
      <c r="AY26" s="38"/>
      <c r="AZ26" s="38"/>
      <c r="BA26" s="38"/>
      <c r="BB26" s="46"/>
      <c r="BC26" s="37"/>
      <c r="BD26" s="37"/>
      <c r="BE26" s="5"/>
      <c r="BF26" s="5"/>
      <c r="BG26" s="47" t="s">
        <v>489</v>
      </c>
      <c r="BH26" s="47"/>
      <c r="BI26" s="31" t="s">
        <v>489</v>
      </c>
      <c r="BJ26" s="48" t="s">
        <v>242</v>
      </c>
      <c r="BK26" s="49">
        <v>1</v>
      </c>
    </row>
    <row x14ac:dyDescent="0.25" r="27" customHeight="1" ht="31.5">
      <c r="A27" s="30">
        <v>10073</v>
      </c>
      <c r="B27" s="5" t="s">
        <v>490</v>
      </c>
      <c r="C27" s="31" t="s">
        <v>491</v>
      </c>
      <c r="D27" s="31" t="s">
        <v>492</v>
      </c>
      <c r="E27" s="5"/>
      <c r="F27" s="5" t="s">
        <v>226</v>
      </c>
      <c r="G27" s="5" t="s">
        <v>247</v>
      </c>
      <c r="H27" s="31" t="s">
        <v>493</v>
      </c>
      <c r="I27" s="32"/>
      <c r="J27" s="32"/>
      <c r="K27" s="5"/>
      <c r="L27" s="5"/>
      <c r="M27" s="5" t="s">
        <v>231</v>
      </c>
      <c r="N27" s="5" t="s">
        <v>250</v>
      </c>
      <c r="O27" s="33"/>
      <c r="P27" s="5"/>
      <c r="Q27" s="1" t="s">
        <v>233</v>
      </c>
      <c r="R27" s="31" t="s">
        <v>233</v>
      </c>
      <c r="S27" s="31"/>
      <c r="T27" s="31"/>
      <c r="U27" s="31" t="s">
        <v>494</v>
      </c>
      <c r="V27" s="5"/>
      <c r="W27" s="40">
        <v>1</v>
      </c>
      <c r="X27" s="41" t="s">
        <v>255</v>
      </c>
      <c r="Y27" s="42" t="s">
        <v>256</v>
      </c>
      <c r="Z27" s="35">
        <v>0</v>
      </c>
      <c r="AA27" s="31" t="s">
        <v>495</v>
      </c>
      <c r="AB27" s="31" t="s">
        <v>496</v>
      </c>
      <c r="AC27" s="5" t="s">
        <v>52</v>
      </c>
      <c r="AD27" s="31" t="s">
        <v>238</v>
      </c>
      <c r="AE27" s="36" t="s">
        <v>395</v>
      </c>
      <c r="AF27" s="31" t="s">
        <v>497</v>
      </c>
      <c r="AG27" s="31"/>
      <c r="AH27" s="31"/>
      <c r="AI27" s="31"/>
      <c r="AJ27" s="31" t="s">
        <v>241</v>
      </c>
      <c r="AK27" s="31" t="s">
        <v>238</v>
      </c>
      <c r="AL27" s="31"/>
      <c r="AM27" s="31"/>
      <c r="AN27" s="31"/>
      <c r="AO27" s="31"/>
      <c r="AP27" s="31"/>
      <c r="AQ27" s="31" t="s">
        <v>242</v>
      </c>
      <c r="AR27" s="31"/>
      <c r="AS27" s="30"/>
      <c r="AT27" s="37"/>
      <c r="AU27" s="37"/>
      <c r="AV27" s="37"/>
      <c r="AW27" s="37">
        <v>5</v>
      </c>
      <c r="AX27" s="37"/>
      <c r="AY27" s="38"/>
      <c r="AZ27" s="38"/>
      <c r="BA27" s="38"/>
      <c r="BB27" s="46"/>
      <c r="BC27" s="37"/>
      <c r="BD27" s="37"/>
      <c r="BE27" s="5"/>
      <c r="BF27" s="5"/>
      <c r="BG27" s="31" t="s">
        <v>498</v>
      </c>
      <c r="BH27" s="31"/>
      <c r="BI27" s="31" t="s">
        <v>498</v>
      </c>
      <c r="BJ27" s="48" t="s">
        <v>242</v>
      </c>
      <c r="BK27" s="49">
        <v>1</v>
      </c>
    </row>
    <row x14ac:dyDescent="0.25" r="28" customHeight="1" ht="31.5">
      <c r="A28" s="30">
        <v>10081</v>
      </c>
      <c r="B28" s="5" t="s">
        <v>499</v>
      </c>
      <c r="C28" s="31" t="s">
        <v>500</v>
      </c>
      <c r="D28" s="31" t="s">
        <v>501</v>
      </c>
      <c r="E28" s="5"/>
      <c r="F28" s="5" t="s">
        <v>226</v>
      </c>
      <c r="G28" s="31" t="s">
        <v>247</v>
      </c>
      <c r="H28" s="31" t="s">
        <v>502</v>
      </c>
      <c r="I28" s="32"/>
      <c r="J28" s="32"/>
      <c r="K28" s="5"/>
      <c r="L28" s="5"/>
      <c r="M28" s="5" t="s">
        <v>231</v>
      </c>
      <c r="N28" s="5" t="s">
        <v>250</v>
      </c>
      <c r="O28" s="33"/>
      <c r="P28" s="5"/>
      <c r="Q28" s="1" t="s">
        <v>251</v>
      </c>
      <c r="R28" s="31" t="s">
        <v>286</v>
      </c>
      <c r="S28" s="31"/>
      <c r="T28" s="31"/>
      <c r="U28" s="31" t="s">
        <v>503</v>
      </c>
      <c r="V28" s="5"/>
      <c r="W28" s="40">
        <v>1</v>
      </c>
      <c r="X28" s="41" t="s">
        <v>255</v>
      </c>
      <c r="Y28" s="42" t="s">
        <v>256</v>
      </c>
      <c r="Z28" s="34">
        <v>0</v>
      </c>
      <c r="AA28" s="31" t="s">
        <v>504</v>
      </c>
      <c r="AB28" s="5" t="s">
        <v>505</v>
      </c>
      <c r="AC28" s="5" t="s">
        <v>52</v>
      </c>
      <c r="AD28" s="31" t="s">
        <v>259</v>
      </c>
      <c r="AE28" s="36" t="s">
        <v>405</v>
      </c>
      <c r="AF28" s="31" t="s">
        <v>292</v>
      </c>
      <c r="AG28" s="31" t="s">
        <v>60</v>
      </c>
      <c r="AH28" s="31"/>
      <c r="AI28" s="31"/>
      <c r="AJ28" s="5"/>
      <c r="AK28" s="5" t="s">
        <v>260</v>
      </c>
      <c r="AL28" s="31"/>
      <c r="AM28" s="31"/>
      <c r="AN28" s="31"/>
      <c r="AO28" s="31"/>
      <c r="AP28" s="31"/>
      <c r="AQ28" s="55" t="s">
        <v>242</v>
      </c>
      <c r="AR28" s="31"/>
      <c r="AS28" s="30"/>
      <c r="AT28" s="37"/>
      <c r="AU28" s="37"/>
      <c r="AV28" s="37"/>
      <c r="AW28" s="37">
        <v>13</v>
      </c>
      <c r="AX28" s="37"/>
      <c r="AY28" s="38"/>
      <c r="AZ28" s="38"/>
      <c r="BA28" s="38"/>
      <c r="BB28" s="46"/>
      <c r="BC28" s="37"/>
      <c r="BD28" s="37"/>
      <c r="BE28" s="5"/>
      <c r="BF28" s="5"/>
      <c r="BG28" s="56" t="s">
        <v>506</v>
      </c>
      <c r="BH28" s="47"/>
      <c r="BI28" s="31" t="s">
        <v>506</v>
      </c>
      <c r="BJ28" s="48" t="s">
        <v>242</v>
      </c>
      <c r="BK28" s="49">
        <v>1</v>
      </c>
    </row>
    <row x14ac:dyDescent="0.25" r="29" customHeight="1" ht="31.5">
      <c r="A29" s="30">
        <v>10091</v>
      </c>
      <c r="B29" s="5" t="s">
        <v>507</v>
      </c>
      <c r="C29" s="31" t="s">
        <v>508</v>
      </c>
      <c r="D29" s="31" t="s">
        <v>509</v>
      </c>
      <c r="E29" s="5"/>
      <c r="F29" s="5" t="s">
        <v>226</v>
      </c>
      <c r="G29" s="5" t="s">
        <v>247</v>
      </c>
      <c r="H29" s="31" t="s">
        <v>510</v>
      </c>
      <c r="I29" s="32"/>
      <c r="J29" s="32"/>
      <c r="K29" s="5"/>
      <c r="L29" s="5"/>
      <c r="M29" s="5" t="s">
        <v>231</v>
      </c>
      <c r="N29" s="5" t="s">
        <v>250</v>
      </c>
      <c r="O29" s="33"/>
      <c r="P29" s="5"/>
      <c r="Q29" s="1" t="s">
        <v>233</v>
      </c>
      <c r="R29" s="31" t="s">
        <v>233</v>
      </c>
      <c r="S29" s="31"/>
      <c r="T29" s="31" t="s">
        <v>511</v>
      </c>
      <c r="U29" s="31" t="s">
        <v>512</v>
      </c>
      <c r="V29" s="5"/>
      <c r="W29" s="40">
        <v>1</v>
      </c>
      <c r="X29" s="41" t="s">
        <v>255</v>
      </c>
      <c r="Y29" s="42" t="s">
        <v>256</v>
      </c>
      <c r="Z29" s="35">
        <v>0</v>
      </c>
      <c r="AA29" s="31" t="s">
        <v>513</v>
      </c>
      <c r="AB29" s="31" t="s">
        <v>514</v>
      </c>
      <c r="AC29" s="5" t="s">
        <v>52</v>
      </c>
      <c r="AD29" s="31" t="s">
        <v>238</v>
      </c>
      <c r="AE29" s="36" t="s">
        <v>468</v>
      </c>
      <c r="AF29" s="31" t="s">
        <v>515</v>
      </c>
      <c r="AG29" s="31"/>
      <c r="AH29" s="31"/>
      <c r="AI29" s="31"/>
      <c r="AJ29" s="31" t="s">
        <v>241</v>
      </c>
      <c r="AK29" s="31" t="s">
        <v>238</v>
      </c>
      <c r="AL29" s="31"/>
      <c r="AM29" s="31"/>
      <c r="AN29" s="31"/>
      <c r="AO29" s="31"/>
      <c r="AP29" s="31"/>
      <c r="AQ29" s="31" t="s">
        <v>242</v>
      </c>
      <c r="AR29" s="31"/>
      <c r="AS29" s="30"/>
      <c r="AT29" s="37"/>
      <c r="AU29" s="37"/>
      <c r="AV29" s="37"/>
      <c r="AW29" s="37">
        <v>24</v>
      </c>
      <c r="AX29" s="37"/>
      <c r="AY29" s="38"/>
      <c r="AZ29" s="38"/>
      <c r="BA29" s="38"/>
      <c r="BB29" s="46"/>
      <c r="BC29" s="37"/>
      <c r="BD29" s="37"/>
      <c r="BE29" s="5"/>
      <c r="BF29" s="5"/>
      <c r="BG29" s="47" t="s">
        <v>516</v>
      </c>
      <c r="BH29" s="47"/>
      <c r="BI29" s="31" t="s">
        <v>516</v>
      </c>
      <c r="BJ29" s="48" t="s">
        <v>242</v>
      </c>
      <c r="BK29" s="49">
        <v>1</v>
      </c>
    </row>
    <row x14ac:dyDescent="0.25" r="30" customHeight="1" ht="31.5">
      <c r="A30" s="30">
        <v>10077</v>
      </c>
      <c r="B30" s="5" t="s">
        <v>517</v>
      </c>
      <c r="C30" s="31" t="s">
        <v>518</v>
      </c>
      <c r="D30" s="31" t="s">
        <v>519</v>
      </c>
      <c r="E30" s="5"/>
      <c r="F30" s="5" t="s">
        <v>226</v>
      </c>
      <c r="G30" s="5" t="s">
        <v>247</v>
      </c>
      <c r="H30" s="31" t="s">
        <v>520</v>
      </c>
      <c r="I30" s="32"/>
      <c r="J30" s="32"/>
      <c r="K30" s="5"/>
      <c r="L30" s="5"/>
      <c r="M30" s="5" t="s">
        <v>231</v>
      </c>
      <c r="N30" s="5" t="s">
        <v>250</v>
      </c>
      <c r="O30" s="33"/>
      <c r="P30" s="5"/>
      <c r="Q30" s="1" t="s">
        <v>233</v>
      </c>
      <c r="R30" s="31" t="s">
        <v>233</v>
      </c>
      <c r="S30" s="31"/>
      <c r="T30" s="31"/>
      <c r="U30" s="31" t="s">
        <v>521</v>
      </c>
      <c r="V30" s="5"/>
      <c r="W30" s="40">
        <v>1</v>
      </c>
      <c r="X30" s="41" t="s">
        <v>255</v>
      </c>
      <c r="Y30" s="42" t="s">
        <v>256</v>
      </c>
      <c r="Z30" s="35">
        <v>0</v>
      </c>
      <c r="AA30" s="31" t="s">
        <v>522</v>
      </c>
      <c r="AB30" s="31" t="s">
        <v>523</v>
      </c>
      <c r="AC30" s="5" t="s">
        <v>52</v>
      </c>
      <c r="AD30" s="31" t="s">
        <v>238</v>
      </c>
      <c r="AE30" s="36" t="s">
        <v>468</v>
      </c>
      <c r="AF30" s="31" t="s">
        <v>524</v>
      </c>
      <c r="AG30" s="31"/>
      <c r="AH30" s="31"/>
      <c r="AI30" s="31"/>
      <c r="AJ30" s="31" t="s">
        <v>241</v>
      </c>
      <c r="AK30" s="31" t="s">
        <v>238</v>
      </c>
      <c r="AL30" s="31"/>
      <c r="AM30" s="31"/>
      <c r="AN30" s="31"/>
      <c r="AO30" s="31"/>
      <c r="AP30" s="31"/>
      <c r="AQ30" s="31" t="s">
        <v>242</v>
      </c>
      <c r="AR30" s="31"/>
      <c r="AS30" s="30"/>
      <c r="AT30" s="37"/>
      <c r="AU30" s="37"/>
      <c r="AV30" s="37"/>
      <c r="AW30" s="37">
        <v>10</v>
      </c>
      <c r="AX30" s="37"/>
      <c r="AY30" s="38"/>
      <c r="AZ30" s="38"/>
      <c r="BA30" s="38"/>
      <c r="BB30" s="46"/>
      <c r="BC30" s="37"/>
      <c r="BD30" s="37"/>
      <c r="BE30" s="5"/>
      <c r="BF30" s="5"/>
      <c r="BG30" s="31" t="s">
        <v>525</v>
      </c>
      <c r="BH30" s="31"/>
      <c r="BI30" s="31" t="s">
        <v>525</v>
      </c>
      <c r="BJ30" s="48" t="s">
        <v>242</v>
      </c>
      <c r="BK30" s="49">
        <v>1</v>
      </c>
    </row>
    <row x14ac:dyDescent="0.25" r="31" customHeight="1" ht="31.5">
      <c r="A31" s="30">
        <v>10114</v>
      </c>
      <c r="B31" s="5" t="s">
        <v>526</v>
      </c>
      <c r="C31" s="31" t="s">
        <v>527</v>
      </c>
      <c r="D31" s="31" t="s">
        <v>528</v>
      </c>
      <c r="E31" s="5" t="s">
        <v>529</v>
      </c>
      <c r="F31" s="5" t="s">
        <v>226</v>
      </c>
      <c r="G31" s="5" t="s">
        <v>247</v>
      </c>
      <c r="H31" s="31" t="s">
        <v>530</v>
      </c>
      <c r="I31" s="32"/>
      <c r="J31" s="32"/>
      <c r="K31" s="5"/>
      <c r="L31" s="5"/>
      <c r="M31" s="5" t="s">
        <v>231</v>
      </c>
      <c r="N31" s="5" t="s">
        <v>250</v>
      </c>
      <c r="O31" s="33"/>
      <c r="P31" s="5"/>
      <c r="Q31" s="1" t="s">
        <v>233</v>
      </c>
      <c r="R31" s="31" t="s">
        <v>233</v>
      </c>
      <c r="S31" s="31"/>
      <c r="T31" s="31"/>
      <c r="U31" s="31" t="s">
        <v>531</v>
      </c>
      <c r="V31" s="5"/>
      <c r="W31" s="40">
        <v>1</v>
      </c>
      <c r="X31" s="41" t="s">
        <v>255</v>
      </c>
      <c r="Y31" s="42" t="s">
        <v>256</v>
      </c>
      <c r="Z31" s="35">
        <v>0</v>
      </c>
      <c r="AA31" s="31" t="s">
        <v>532</v>
      </c>
      <c r="AB31" s="31" t="s">
        <v>533</v>
      </c>
      <c r="AC31" s="5" t="s">
        <v>52</v>
      </c>
      <c r="AD31" s="31" t="s">
        <v>238</v>
      </c>
      <c r="AE31" s="36" t="s">
        <v>468</v>
      </c>
      <c r="AF31" s="31" t="s">
        <v>534</v>
      </c>
      <c r="AG31" s="31"/>
      <c r="AH31" s="31"/>
      <c r="AI31" s="31" t="s">
        <v>535</v>
      </c>
      <c r="AJ31" s="31" t="s">
        <v>241</v>
      </c>
      <c r="AK31" s="31" t="s">
        <v>238</v>
      </c>
      <c r="AL31" s="31"/>
      <c r="AM31" s="31"/>
      <c r="AN31" s="31"/>
      <c r="AO31" s="31"/>
      <c r="AP31" s="31"/>
      <c r="AQ31" s="31" t="s">
        <v>242</v>
      </c>
      <c r="AR31" s="31"/>
      <c r="AS31" s="30"/>
      <c r="AT31" s="37"/>
      <c r="AU31" s="37"/>
      <c r="AV31" s="37"/>
      <c r="AW31" s="37">
        <v>37</v>
      </c>
      <c r="AX31" s="37"/>
      <c r="AY31" s="38"/>
      <c r="AZ31" s="38"/>
      <c r="BA31" s="38"/>
      <c r="BB31" s="46" t="s">
        <v>529</v>
      </c>
      <c r="BC31" s="37"/>
      <c r="BD31" s="37"/>
      <c r="BE31" s="5"/>
      <c r="BF31" s="5"/>
      <c r="BG31" s="47" t="s">
        <v>536</v>
      </c>
      <c r="BH31" s="47"/>
      <c r="BI31" s="31" t="s">
        <v>536</v>
      </c>
      <c r="BJ31" s="48" t="s">
        <v>242</v>
      </c>
      <c r="BK31" s="49">
        <v>1</v>
      </c>
    </row>
    <row x14ac:dyDescent="0.25" r="32" customHeight="1" ht="31.5">
      <c r="A32" s="30">
        <v>10110</v>
      </c>
      <c r="B32" s="5" t="s">
        <v>537</v>
      </c>
      <c r="C32" s="31" t="s">
        <v>538</v>
      </c>
      <c r="D32" s="31" t="s">
        <v>539</v>
      </c>
      <c r="E32" s="5"/>
      <c r="F32" s="5" t="s">
        <v>226</v>
      </c>
      <c r="G32" s="5" t="s">
        <v>247</v>
      </c>
      <c r="H32" s="31" t="s">
        <v>540</v>
      </c>
      <c r="I32" s="32"/>
      <c r="J32" s="32"/>
      <c r="K32" s="5"/>
      <c r="L32" s="5"/>
      <c r="M32" s="5" t="s">
        <v>231</v>
      </c>
      <c r="N32" s="5" t="s">
        <v>250</v>
      </c>
      <c r="O32" s="33"/>
      <c r="P32" s="5"/>
      <c r="Q32" s="1" t="s">
        <v>233</v>
      </c>
      <c r="R32" s="31" t="s">
        <v>233</v>
      </c>
      <c r="S32" s="31"/>
      <c r="T32" s="31" t="s">
        <v>541</v>
      </c>
      <c r="U32" s="31" t="s">
        <v>542</v>
      </c>
      <c r="V32" s="5"/>
      <c r="W32" s="40">
        <v>1</v>
      </c>
      <c r="X32" s="41" t="s">
        <v>255</v>
      </c>
      <c r="Y32" s="42" t="s">
        <v>256</v>
      </c>
      <c r="Z32" s="35">
        <v>0</v>
      </c>
      <c r="AA32" s="31" t="s">
        <v>543</v>
      </c>
      <c r="AB32" s="31" t="s">
        <v>544</v>
      </c>
      <c r="AC32" s="5" t="s">
        <v>52</v>
      </c>
      <c r="AD32" s="31" t="s">
        <v>238</v>
      </c>
      <c r="AE32" s="36" t="s">
        <v>468</v>
      </c>
      <c r="AF32" s="31" t="s">
        <v>515</v>
      </c>
      <c r="AG32" s="31"/>
      <c r="AH32" s="31"/>
      <c r="AI32" s="31" t="s">
        <v>535</v>
      </c>
      <c r="AJ32" s="31" t="s">
        <v>241</v>
      </c>
      <c r="AK32" s="31" t="s">
        <v>238</v>
      </c>
      <c r="AL32" s="31"/>
      <c r="AM32" s="31"/>
      <c r="AN32" s="31"/>
      <c r="AO32" s="31"/>
      <c r="AP32" s="31"/>
      <c r="AQ32" s="31" t="s">
        <v>242</v>
      </c>
      <c r="AR32" s="31"/>
      <c r="AS32" s="30"/>
      <c r="AT32" s="37"/>
      <c r="AU32" s="37"/>
      <c r="AV32" s="37"/>
      <c r="AW32" s="37">
        <v>36</v>
      </c>
      <c r="AX32" s="37"/>
      <c r="AY32" s="38"/>
      <c r="AZ32" s="38"/>
      <c r="BA32" s="38"/>
      <c r="BB32" s="46"/>
      <c r="BC32" s="37"/>
      <c r="BD32" s="37"/>
      <c r="BE32" s="5"/>
      <c r="BF32" s="5"/>
      <c r="BG32" s="47" t="s">
        <v>545</v>
      </c>
      <c r="BH32" s="47"/>
      <c r="BI32" s="31" t="s">
        <v>545</v>
      </c>
      <c r="BJ32" s="48" t="s">
        <v>242</v>
      </c>
      <c r="BK32" s="49">
        <v>1</v>
      </c>
    </row>
    <row x14ac:dyDescent="0.25" r="33" customHeight="1" ht="31.5">
      <c r="A33" s="30" t="s">
        <v>546</v>
      </c>
      <c r="B33" s="5" t="s">
        <v>547</v>
      </c>
      <c r="C33" s="31" t="s">
        <v>548</v>
      </c>
      <c r="D33" s="31" t="s">
        <v>549</v>
      </c>
      <c r="E33" s="5"/>
      <c r="F33" s="5" t="s">
        <v>226</v>
      </c>
      <c r="G33" s="5" t="s">
        <v>247</v>
      </c>
      <c r="H33" s="31" t="s">
        <v>550</v>
      </c>
      <c r="I33" s="32"/>
      <c r="J33" s="32"/>
      <c r="K33" s="5"/>
      <c r="L33" s="5"/>
      <c r="M33" s="5" t="s">
        <v>231</v>
      </c>
      <c r="N33" s="5" t="s">
        <v>250</v>
      </c>
      <c r="O33" s="33" t="s">
        <v>386</v>
      </c>
      <c r="P33" s="5"/>
      <c r="Q33" s="1" t="s">
        <v>233</v>
      </c>
      <c r="R33" s="31"/>
      <c r="S33" s="31"/>
      <c r="T33" s="31" t="s">
        <v>551</v>
      </c>
      <c r="U33" s="31" t="s">
        <v>552</v>
      </c>
      <c r="V33" s="31" t="s">
        <v>553</v>
      </c>
      <c r="W33" s="40">
        <v>1</v>
      </c>
      <c r="X33" s="41" t="s">
        <v>255</v>
      </c>
      <c r="Y33" s="42" t="s">
        <v>256</v>
      </c>
      <c r="Z33" s="35">
        <v>0</v>
      </c>
      <c r="AA33" s="31"/>
      <c r="AB33" s="31" t="s">
        <v>554</v>
      </c>
      <c r="AC33" s="5" t="s">
        <v>52</v>
      </c>
      <c r="AD33" s="31" t="s">
        <v>238</v>
      </c>
      <c r="AE33" s="36" t="s">
        <v>468</v>
      </c>
      <c r="AF33" s="31" t="s">
        <v>469</v>
      </c>
      <c r="AG33" s="31"/>
      <c r="AH33" s="31"/>
      <c r="AI33" s="31" t="s">
        <v>535</v>
      </c>
      <c r="AJ33" s="31" t="s">
        <v>241</v>
      </c>
      <c r="AK33" s="31" t="s">
        <v>238</v>
      </c>
      <c r="AL33" s="31"/>
      <c r="AM33" s="31"/>
      <c r="AN33" s="31"/>
      <c r="AO33" s="31"/>
      <c r="AP33" s="31"/>
      <c r="AQ33" s="31" t="s">
        <v>242</v>
      </c>
      <c r="AR33" s="31"/>
      <c r="AS33" s="30"/>
      <c r="AT33" s="37"/>
      <c r="AU33" s="37"/>
      <c r="AV33" s="37"/>
      <c r="AW33" s="37">
        <v>23</v>
      </c>
      <c r="AX33" s="37"/>
      <c r="AY33" s="38"/>
      <c r="AZ33" s="38"/>
      <c r="BA33" s="38"/>
      <c r="BB33" s="46"/>
      <c r="BC33" s="37"/>
      <c r="BD33" s="37"/>
      <c r="BE33" s="58"/>
      <c r="BF33" s="58"/>
      <c r="BG33" s="47" t="s">
        <v>555</v>
      </c>
      <c r="BH33" s="47"/>
      <c r="BI33" s="31" t="s">
        <v>555</v>
      </c>
      <c r="BJ33" s="48" t="s">
        <v>242</v>
      </c>
      <c r="BK33" s="49">
        <v>1</v>
      </c>
    </row>
    <row x14ac:dyDescent="0.25" r="34" customHeight="1" ht="31.5">
      <c r="A34" s="30">
        <v>10094</v>
      </c>
      <c r="B34" s="5" t="s">
        <v>556</v>
      </c>
      <c r="C34" s="31" t="s">
        <v>557</v>
      </c>
      <c r="D34" s="31" t="s">
        <v>558</v>
      </c>
      <c r="E34" s="5"/>
      <c r="F34" s="5" t="s">
        <v>226</v>
      </c>
      <c r="G34" s="5" t="s">
        <v>247</v>
      </c>
      <c r="H34" s="31" t="s">
        <v>559</v>
      </c>
      <c r="I34" s="32"/>
      <c r="J34" s="32"/>
      <c r="K34" s="5"/>
      <c r="L34" s="5"/>
      <c r="M34" s="5" t="s">
        <v>231</v>
      </c>
      <c r="N34" s="5" t="s">
        <v>250</v>
      </c>
      <c r="O34" s="33"/>
      <c r="P34" s="5"/>
      <c r="Q34" s="1" t="s">
        <v>233</v>
      </c>
      <c r="R34" s="31" t="s">
        <v>233</v>
      </c>
      <c r="S34" s="31"/>
      <c r="T34" s="31" t="s">
        <v>560</v>
      </c>
      <c r="U34" s="31" t="s">
        <v>561</v>
      </c>
      <c r="V34" s="5"/>
      <c r="W34" s="40">
        <v>1</v>
      </c>
      <c r="X34" s="41" t="s">
        <v>255</v>
      </c>
      <c r="Y34" s="42" t="s">
        <v>256</v>
      </c>
      <c r="Z34" s="35">
        <v>0</v>
      </c>
      <c r="AA34" s="31" t="s">
        <v>562</v>
      </c>
      <c r="AB34" s="31" t="s">
        <v>563</v>
      </c>
      <c r="AC34" s="5" t="s">
        <v>52</v>
      </c>
      <c r="AD34" s="31" t="s">
        <v>238</v>
      </c>
      <c r="AE34" s="36" t="s">
        <v>468</v>
      </c>
      <c r="AF34" s="31" t="s">
        <v>564</v>
      </c>
      <c r="AG34" s="31"/>
      <c r="AH34" s="31"/>
      <c r="AI34" s="31" t="s">
        <v>535</v>
      </c>
      <c r="AJ34" s="31" t="s">
        <v>241</v>
      </c>
      <c r="AK34" s="31" t="s">
        <v>238</v>
      </c>
      <c r="AL34" s="31"/>
      <c r="AM34" s="31"/>
      <c r="AN34" s="31"/>
      <c r="AO34" s="31"/>
      <c r="AP34" s="31"/>
      <c r="AQ34" s="31" t="s">
        <v>242</v>
      </c>
      <c r="AR34" s="31"/>
      <c r="AS34" s="30"/>
      <c r="AT34" s="37"/>
      <c r="AU34" s="37"/>
      <c r="AV34" s="37"/>
      <c r="AW34" s="37">
        <v>21</v>
      </c>
      <c r="AX34" s="37"/>
      <c r="AY34" s="38"/>
      <c r="AZ34" s="38"/>
      <c r="BA34" s="38"/>
      <c r="BB34" s="46"/>
      <c r="BC34" s="37"/>
      <c r="BD34" s="37"/>
      <c r="BE34" s="5"/>
      <c r="BF34" s="5"/>
      <c r="BG34" s="47" t="s">
        <v>565</v>
      </c>
      <c r="BH34" s="47"/>
      <c r="BI34" s="31" t="s">
        <v>565</v>
      </c>
      <c r="BJ34" s="48" t="s">
        <v>242</v>
      </c>
      <c r="BK34" s="49">
        <v>1</v>
      </c>
    </row>
    <row x14ac:dyDescent="0.25" r="35" customHeight="1" ht="31.5">
      <c r="A35" s="30">
        <v>10068</v>
      </c>
      <c r="B35" s="5" t="s">
        <v>566</v>
      </c>
      <c r="C35" s="31" t="s">
        <v>567</v>
      </c>
      <c r="D35" s="31" t="s">
        <v>568</v>
      </c>
      <c r="E35" s="5"/>
      <c r="F35" s="5" t="s">
        <v>226</v>
      </c>
      <c r="G35" s="31" t="s">
        <v>569</v>
      </c>
      <c r="H35" s="31" t="s">
        <v>570</v>
      </c>
      <c r="I35" s="32"/>
      <c r="J35" s="32"/>
      <c r="K35" s="5"/>
      <c r="L35" s="5"/>
      <c r="M35" s="5" t="s">
        <v>231</v>
      </c>
      <c r="N35" s="31" t="s">
        <v>569</v>
      </c>
      <c r="O35" s="53"/>
      <c r="P35" s="31"/>
      <c r="Q35" s="1" t="s">
        <v>251</v>
      </c>
      <c r="R35" s="31" t="s">
        <v>286</v>
      </c>
      <c r="S35" s="31"/>
      <c r="T35" s="31"/>
      <c r="U35" s="31" t="s">
        <v>571</v>
      </c>
      <c r="V35" s="5"/>
      <c r="W35" s="40">
        <v>0</v>
      </c>
      <c r="X35" s="41" t="s">
        <v>386</v>
      </c>
      <c r="Y35" s="42" t="s">
        <v>256</v>
      </c>
      <c r="Z35" s="34">
        <v>0</v>
      </c>
      <c r="AA35" s="31" t="s">
        <v>572</v>
      </c>
      <c r="AB35" s="31" t="s">
        <v>573</v>
      </c>
      <c r="AC35" s="5" t="s">
        <v>52</v>
      </c>
      <c r="AD35" s="31" t="s">
        <v>259</v>
      </c>
      <c r="AE35" s="36" t="s">
        <v>574</v>
      </c>
      <c r="AF35" s="31" t="s">
        <v>292</v>
      </c>
      <c r="AG35" s="31"/>
      <c r="AH35" s="31"/>
      <c r="AI35" s="31"/>
      <c r="AJ35" s="31" t="s">
        <v>262</v>
      </c>
      <c r="AK35" s="31" t="s">
        <v>259</v>
      </c>
      <c r="AL35" s="31"/>
      <c r="AM35" s="31"/>
      <c r="AN35" s="31"/>
      <c r="AO35" s="31"/>
      <c r="AP35" s="31"/>
      <c r="AQ35" s="31" t="s">
        <v>242</v>
      </c>
      <c r="AR35" s="31"/>
      <c r="AS35" s="30"/>
      <c r="AT35" s="37"/>
      <c r="AU35" s="37"/>
      <c r="AV35" s="37"/>
      <c r="AW35" s="37"/>
      <c r="AX35" s="37">
        <v>4</v>
      </c>
      <c r="AY35" s="38"/>
      <c r="AZ35" s="38"/>
      <c r="BA35" s="38"/>
      <c r="BB35" s="46"/>
      <c r="BC35" s="37"/>
      <c r="BD35" s="37"/>
      <c r="BE35" s="58"/>
      <c r="BF35" s="58"/>
      <c r="BG35" s="31"/>
      <c r="BH35" s="31"/>
      <c r="BI35" s="31"/>
      <c r="BJ35" s="48"/>
      <c r="BK35" s="49">
        <v>1</v>
      </c>
    </row>
    <row x14ac:dyDescent="0.25" r="36" customHeight="1" ht="31.5">
      <c r="A36" s="30" t="s">
        <v>386</v>
      </c>
      <c r="B36" s="5" t="s">
        <v>386</v>
      </c>
      <c r="C36" s="31" t="s">
        <v>575</v>
      </c>
      <c r="D36" s="31" t="s">
        <v>576</v>
      </c>
      <c r="E36" s="5"/>
      <c r="F36" s="5" t="s">
        <v>577</v>
      </c>
      <c r="G36" s="5" t="s">
        <v>578</v>
      </c>
      <c r="H36" s="31"/>
      <c r="I36" s="32"/>
      <c r="J36" s="32"/>
      <c r="K36" s="5"/>
      <c r="L36" s="5"/>
      <c r="M36" s="5" t="s">
        <v>231</v>
      </c>
      <c r="N36" s="5" t="s">
        <v>579</v>
      </c>
      <c r="O36" s="33"/>
      <c r="P36" s="31"/>
      <c r="Q36" s="1" t="s">
        <v>233</v>
      </c>
      <c r="R36" s="31" t="s">
        <v>233</v>
      </c>
      <c r="S36" s="31"/>
      <c r="T36" s="31"/>
      <c r="U36" s="31" t="s">
        <v>580</v>
      </c>
      <c r="V36" s="5"/>
      <c r="W36" s="34">
        <v>1</v>
      </c>
      <c r="X36" s="31" t="s">
        <v>581</v>
      </c>
      <c r="Y36" s="5"/>
      <c r="Z36" s="34">
        <v>0</v>
      </c>
      <c r="AA36" s="31" t="s">
        <v>582</v>
      </c>
      <c r="AB36" s="31" t="s">
        <v>583</v>
      </c>
      <c r="AC36" s="5" t="s">
        <v>38</v>
      </c>
      <c r="AD36" s="31" t="s">
        <v>259</v>
      </c>
      <c r="AE36" s="36" t="s">
        <v>259</v>
      </c>
      <c r="AF36" s="31" t="s">
        <v>583</v>
      </c>
      <c r="AG36" s="31"/>
      <c r="AH36" s="31"/>
      <c r="AI36" s="31"/>
      <c r="AJ36" s="31"/>
      <c r="AK36" s="31"/>
      <c r="AL36" s="31"/>
      <c r="AM36" s="31"/>
      <c r="AN36" s="31"/>
      <c r="AO36" s="31"/>
      <c r="AP36" s="31"/>
      <c r="AQ36" s="31"/>
      <c r="AR36" s="31" t="s">
        <v>584</v>
      </c>
      <c r="AS36" s="30">
        <v>1</v>
      </c>
      <c r="AT36" s="37">
        <v>1</v>
      </c>
      <c r="AU36" s="37">
        <v>1</v>
      </c>
      <c r="AV36" s="37">
        <v>1</v>
      </c>
      <c r="AW36" s="37">
        <v>1</v>
      </c>
      <c r="AX36" s="37">
        <v>1</v>
      </c>
      <c r="AY36" s="34">
        <v>1</v>
      </c>
      <c r="AZ36" s="34">
        <v>1</v>
      </c>
      <c r="BA36" s="34">
        <v>1</v>
      </c>
      <c r="BB36" s="46"/>
      <c r="BC36" s="37">
        <v>1</v>
      </c>
      <c r="BD36" s="37">
        <v>1</v>
      </c>
      <c r="BE36" s="5"/>
      <c r="BF36" s="5"/>
      <c r="BG36" s="31" t="s">
        <v>580</v>
      </c>
      <c r="BH36" s="31" t="s">
        <v>580</v>
      </c>
      <c r="BI36" s="31" t="s">
        <v>580</v>
      </c>
      <c r="BJ36" s="48"/>
      <c r="BK36" s="49">
        <v>3</v>
      </c>
    </row>
    <row x14ac:dyDescent="0.25" r="37" customHeight="1" ht="31.5">
      <c r="A37" s="30" t="s">
        <v>585</v>
      </c>
      <c r="B37" s="5" t="s">
        <v>586</v>
      </c>
      <c r="C37" s="31" t="s">
        <v>587</v>
      </c>
      <c r="D37" s="31" t="s">
        <v>588</v>
      </c>
      <c r="E37" s="5"/>
      <c r="F37" s="5" t="s">
        <v>577</v>
      </c>
      <c r="G37" s="5" t="s">
        <v>589</v>
      </c>
      <c r="H37" s="31" t="s">
        <v>386</v>
      </c>
      <c r="I37" s="31"/>
      <c r="J37" s="31"/>
      <c r="K37" s="5"/>
      <c r="L37" s="5"/>
      <c r="M37" s="5" t="s">
        <v>231</v>
      </c>
      <c r="N37" s="5" t="s">
        <v>590</v>
      </c>
      <c r="O37" s="33"/>
      <c r="P37" s="31"/>
      <c r="Q37" s="1" t="s">
        <v>251</v>
      </c>
      <c r="R37" s="31" t="s">
        <v>591</v>
      </c>
      <c r="S37" s="31" t="s">
        <v>592</v>
      </c>
      <c r="T37" s="31" t="s">
        <v>593</v>
      </c>
      <c r="U37" s="31" t="s">
        <v>587</v>
      </c>
      <c r="V37" s="5"/>
      <c r="W37" s="34">
        <v>1</v>
      </c>
      <c r="X37" s="31" t="s">
        <v>594</v>
      </c>
      <c r="Y37" s="5"/>
      <c r="Z37" s="34">
        <v>1</v>
      </c>
      <c r="AA37" s="31"/>
      <c r="AB37" s="31" t="s">
        <v>595</v>
      </c>
      <c r="AC37" s="5" t="s">
        <v>38</v>
      </c>
      <c r="AD37" s="31" t="s">
        <v>596</v>
      </c>
      <c r="AE37" s="36" t="s">
        <v>595</v>
      </c>
      <c r="AF37" s="31" t="s">
        <v>597</v>
      </c>
      <c r="AG37" s="31"/>
      <c r="AH37" s="31"/>
      <c r="AI37" s="31"/>
      <c r="AJ37" s="31"/>
      <c r="AK37" s="31"/>
      <c r="AL37" s="31"/>
      <c r="AM37" s="31"/>
      <c r="AN37" s="31"/>
      <c r="AO37" s="31"/>
      <c r="AP37" s="31"/>
      <c r="AQ37" s="31"/>
      <c r="AR37" s="31"/>
      <c r="AS37" s="30"/>
      <c r="AT37" s="37"/>
      <c r="AU37" s="37"/>
      <c r="AV37" s="37"/>
      <c r="AW37" s="37"/>
      <c r="AX37" s="37"/>
      <c r="AY37" s="34">
        <v>8</v>
      </c>
      <c r="AZ37" s="34">
        <v>2</v>
      </c>
      <c r="BA37" s="38"/>
      <c r="BB37" s="46"/>
      <c r="BC37" s="37"/>
      <c r="BD37" s="37">
        <v>2</v>
      </c>
      <c r="BE37" s="5"/>
      <c r="BF37" s="5" t="s">
        <v>586</v>
      </c>
      <c r="BG37" s="31" t="s">
        <v>587</v>
      </c>
      <c r="BH37" s="31" t="s">
        <v>587</v>
      </c>
      <c r="BI37" s="31" t="s">
        <v>587</v>
      </c>
      <c r="BJ37" s="48"/>
      <c r="BK37" s="49">
        <v>3</v>
      </c>
    </row>
    <row x14ac:dyDescent="0.25" r="38" customHeight="1" ht="31.5">
      <c r="A38" s="30" t="s">
        <v>598</v>
      </c>
      <c r="B38" s="5" t="s">
        <v>599</v>
      </c>
      <c r="C38" s="31" t="s">
        <v>600</v>
      </c>
      <c r="D38" s="31" t="s">
        <v>601</v>
      </c>
      <c r="E38" s="5"/>
      <c r="F38" s="5" t="s">
        <v>602</v>
      </c>
      <c r="G38" s="5" t="s">
        <v>589</v>
      </c>
      <c r="H38" s="31" t="s">
        <v>386</v>
      </c>
      <c r="I38" s="32"/>
      <c r="J38" s="32"/>
      <c r="K38" s="5"/>
      <c r="L38" s="5"/>
      <c r="M38" s="5" t="s">
        <v>231</v>
      </c>
      <c r="N38" s="5" t="s">
        <v>590</v>
      </c>
      <c r="O38" s="33"/>
      <c r="P38" s="31"/>
      <c r="Q38" s="1" t="s">
        <v>251</v>
      </c>
      <c r="R38" s="31" t="s">
        <v>591</v>
      </c>
      <c r="S38" s="31" t="s">
        <v>592</v>
      </c>
      <c r="T38" s="31" t="s">
        <v>593</v>
      </c>
      <c r="U38" s="31" t="s">
        <v>600</v>
      </c>
      <c r="V38" s="5"/>
      <c r="W38" s="40">
        <v>1</v>
      </c>
      <c r="X38" s="31" t="s">
        <v>581</v>
      </c>
      <c r="Y38" s="42"/>
      <c r="Z38" s="34">
        <v>0</v>
      </c>
      <c r="AA38" s="31"/>
      <c r="AB38" s="31" t="s">
        <v>603</v>
      </c>
      <c r="AC38" s="5" t="s">
        <v>88</v>
      </c>
      <c r="AD38" s="31" t="s">
        <v>596</v>
      </c>
      <c r="AE38" s="36" t="s">
        <v>604</v>
      </c>
      <c r="AF38" s="31" t="s">
        <v>292</v>
      </c>
      <c r="AG38" s="31" t="s">
        <v>51</v>
      </c>
      <c r="AH38" s="31"/>
      <c r="AI38" s="31"/>
      <c r="AJ38" s="31" t="s">
        <v>605</v>
      </c>
      <c r="AK38" s="31" t="s">
        <v>596</v>
      </c>
      <c r="AL38" s="31"/>
      <c r="AM38" s="31"/>
      <c r="AN38" s="31"/>
      <c r="AO38" s="31"/>
      <c r="AP38" s="31"/>
      <c r="AQ38" s="31"/>
      <c r="AR38" s="31" t="s">
        <v>243</v>
      </c>
      <c r="AS38" s="30"/>
      <c r="AT38" s="37"/>
      <c r="AU38" s="37"/>
      <c r="AV38" s="37"/>
      <c r="AW38" s="37"/>
      <c r="AX38" s="37"/>
      <c r="AY38" s="34">
        <v>3</v>
      </c>
      <c r="AZ38" s="38"/>
      <c r="BA38" s="38"/>
      <c r="BB38" s="46"/>
      <c r="BC38" s="37"/>
      <c r="BD38" s="37">
        <v>3</v>
      </c>
      <c r="BE38" s="5" t="s">
        <v>529</v>
      </c>
      <c r="BF38" s="5" t="s">
        <v>599</v>
      </c>
      <c r="BG38" s="31" t="s">
        <v>600</v>
      </c>
      <c r="BH38" s="31" t="s">
        <v>600</v>
      </c>
      <c r="BI38" s="31" t="s">
        <v>600</v>
      </c>
      <c r="BJ38" s="48"/>
      <c r="BK38" s="49">
        <v>3</v>
      </c>
    </row>
    <row x14ac:dyDescent="0.25" r="39" customHeight="1" ht="31.5">
      <c r="A39" s="30" t="s">
        <v>606</v>
      </c>
      <c r="B39" s="5" t="s">
        <v>607</v>
      </c>
      <c r="C39" s="31" t="s">
        <v>608</v>
      </c>
      <c r="D39" s="31" t="s">
        <v>609</v>
      </c>
      <c r="E39" s="5"/>
      <c r="F39" s="5" t="s">
        <v>602</v>
      </c>
      <c r="G39" s="5" t="s">
        <v>589</v>
      </c>
      <c r="H39" s="31" t="s">
        <v>386</v>
      </c>
      <c r="I39" s="32"/>
      <c r="J39" s="32"/>
      <c r="K39" s="5"/>
      <c r="L39" s="5"/>
      <c r="M39" s="5" t="s">
        <v>231</v>
      </c>
      <c r="N39" s="5" t="s">
        <v>590</v>
      </c>
      <c r="O39" s="33"/>
      <c r="P39" s="31"/>
      <c r="Q39" s="1" t="s">
        <v>251</v>
      </c>
      <c r="R39" s="31" t="s">
        <v>591</v>
      </c>
      <c r="S39" s="31" t="s">
        <v>592</v>
      </c>
      <c r="T39" s="31" t="s">
        <v>593</v>
      </c>
      <c r="U39" s="55" t="s">
        <v>608</v>
      </c>
      <c r="V39" s="5"/>
      <c r="W39" s="40">
        <v>1</v>
      </c>
      <c r="X39" s="41" t="s">
        <v>594</v>
      </c>
      <c r="Y39" s="42"/>
      <c r="Z39" s="34">
        <v>0</v>
      </c>
      <c r="AA39" s="31"/>
      <c r="AB39" s="31" t="s">
        <v>610</v>
      </c>
      <c r="AC39" s="5" t="s">
        <v>88</v>
      </c>
      <c r="AD39" s="31" t="s">
        <v>596</v>
      </c>
      <c r="AE39" s="36" t="s">
        <v>604</v>
      </c>
      <c r="AF39" s="31" t="s">
        <v>292</v>
      </c>
      <c r="AG39" s="31" t="s">
        <v>37</v>
      </c>
      <c r="AH39" s="31"/>
      <c r="AI39" s="31"/>
      <c r="AJ39" s="31" t="s">
        <v>605</v>
      </c>
      <c r="AK39" s="31" t="s">
        <v>596</v>
      </c>
      <c r="AL39" s="31"/>
      <c r="AM39" s="31"/>
      <c r="AN39" s="31"/>
      <c r="AO39" s="31"/>
      <c r="AP39" s="31"/>
      <c r="AQ39" s="31"/>
      <c r="AR39" s="31" t="s">
        <v>243</v>
      </c>
      <c r="AS39" s="30"/>
      <c r="AT39" s="37"/>
      <c r="AU39" s="37"/>
      <c r="AV39" s="37"/>
      <c r="AW39" s="37"/>
      <c r="AX39" s="37"/>
      <c r="AY39" s="34">
        <v>4</v>
      </c>
      <c r="AZ39" s="38"/>
      <c r="BA39" s="38"/>
      <c r="BB39" s="46"/>
      <c r="BC39" s="37"/>
      <c r="BD39" s="37">
        <v>4</v>
      </c>
      <c r="BE39" s="5"/>
      <c r="BF39" s="5" t="s">
        <v>607</v>
      </c>
      <c r="BG39" s="59" t="s">
        <v>611</v>
      </c>
      <c r="BH39" s="47" t="s">
        <v>612</v>
      </c>
      <c r="BI39" s="47" t="s">
        <v>611</v>
      </c>
      <c r="BJ39" s="60"/>
      <c r="BK39" s="49">
        <v>3</v>
      </c>
    </row>
    <row x14ac:dyDescent="0.25" r="40" customHeight="1" ht="31.5">
      <c r="A40" s="30">
        <v>11090</v>
      </c>
      <c r="B40" s="5" t="s">
        <v>613</v>
      </c>
      <c r="C40" s="31" t="s">
        <v>614</v>
      </c>
      <c r="D40" s="31" t="s">
        <v>615</v>
      </c>
      <c r="E40" s="5"/>
      <c r="F40" s="5" t="s">
        <v>602</v>
      </c>
      <c r="G40" s="5" t="s">
        <v>589</v>
      </c>
      <c r="H40" s="31" t="s">
        <v>386</v>
      </c>
      <c r="I40" s="32"/>
      <c r="J40" s="32"/>
      <c r="K40" s="5"/>
      <c r="L40" s="5"/>
      <c r="M40" s="5" t="s">
        <v>231</v>
      </c>
      <c r="N40" s="5" t="s">
        <v>616</v>
      </c>
      <c r="O40" s="33"/>
      <c r="P40" s="31"/>
      <c r="Q40" s="1" t="s">
        <v>251</v>
      </c>
      <c r="R40" s="31" t="s">
        <v>591</v>
      </c>
      <c r="S40" s="31" t="s">
        <v>592</v>
      </c>
      <c r="T40" s="31"/>
      <c r="U40" s="55" t="s">
        <v>617</v>
      </c>
      <c r="V40" s="5"/>
      <c r="W40" s="40">
        <v>1</v>
      </c>
      <c r="X40" s="41" t="s">
        <v>594</v>
      </c>
      <c r="Y40" s="42"/>
      <c r="Z40" s="34">
        <v>0</v>
      </c>
      <c r="AA40" s="31"/>
      <c r="AB40" s="31" t="s">
        <v>618</v>
      </c>
      <c r="AC40" s="5" t="s">
        <v>88</v>
      </c>
      <c r="AD40" s="31" t="s">
        <v>596</v>
      </c>
      <c r="AE40" s="36" t="s">
        <v>604</v>
      </c>
      <c r="AF40" s="31" t="s">
        <v>292</v>
      </c>
      <c r="AG40" s="31" t="s">
        <v>87</v>
      </c>
      <c r="AH40" s="31"/>
      <c r="AI40" s="31"/>
      <c r="AJ40" s="31" t="s">
        <v>605</v>
      </c>
      <c r="AK40" s="31" t="s">
        <v>596</v>
      </c>
      <c r="AL40" s="31"/>
      <c r="AM40" s="31"/>
      <c r="AN40" s="31"/>
      <c r="AO40" s="31"/>
      <c r="AP40" s="31"/>
      <c r="AQ40" s="31"/>
      <c r="AR40" s="31" t="s">
        <v>243</v>
      </c>
      <c r="AS40" s="30"/>
      <c r="AT40" s="37"/>
      <c r="AU40" s="37"/>
      <c r="AV40" s="37"/>
      <c r="AW40" s="37"/>
      <c r="AX40" s="37"/>
      <c r="AY40" s="34">
        <v>7</v>
      </c>
      <c r="AZ40" s="38"/>
      <c r="BA40" s="38"/>
      <c r="BB40" s="46"/>
      <c r="BC40" s="37"/>
      <c r="BD40" s="37">
        <v>5</v>
      </c>
      <c r="BE40" s="5"/>
      <c r="BF40" s="5" t="s">
        <v>613</v>
      </c>
      <c r="BG40" s="59" t="s">
        <v>619</v>
      </c>
      <c r="BH40" s="47" t="s">
        <v>617</v>
      </c>
      <c r="BI40" s="47" t="s">
        <v>619</v>
      </c>
      <c r="BJ40" s="60"/>
      <c r="BK40" s="49">
        <v>3</v>
      </c>
    </row>
    <row x14ac:dyDescent="0.25" r="41" customHeight="1" ht="31.5">
      <c r="A41" s="30" t="s">
        <v>620</v>
      </c>
      <c r="B41" s="5" t="s">
        <v>621</v>
      </c>
      <c r="C41" s="31" t="s">
        <v>622</v>
      </c>
      <c r="D41" s="31" t="s">
        <v>623</v>
      </c>
      <c r="E41" s="5"/>
      <c r="F41" s="5" t="s">
        <v>602</v>
      </c>
      <c r="G41" s="5" t="s">
        <v>589</v>
      </c>
      <c r="H41" s="31" t="s">
        <v>386</v>
      </c>
      <c r="I41" s="32"/>
      <c r="J41" s="32"/>
      <c r="K41" s="5"/>
      <c r="L41" s="5"/>
      <c r="M41" s="5" t="s">
        <v>231</v>
      </c>
      <c r="N41" s="5" t="s">
        <v>590</v>
      </c>
      <c r="O41" s="33"/>
      <c r="P41" s="31"/>
      <c r="Q41" s="1" t="s">
        <v>251</v>
      </c>
      <c r="R41" s="31" t="s">
        <v>591</v>
      </c>
      <c r="S41" s="31" t="s">
        <v>592</v>
      </c>
      <c r="T41" s="31"/>
      <c r="U41" s="55" t="s">
        <v>622</v>
      </c>
      <c r="V41" s="5" t="s">
        <v>624</v>
      </c>
      <c r="W41" s="40">
        <v>1</v>
      </c>
      <c r="X41" s="41" t="s">
        <v>594</v>
      </c>
      <c r="Y41" s="42"/>
      <c r="Z41" s="34">
        <v>0</v>
      </c>
      <c r="AA41" s="31"/>
      <c r="AB41" s="31" t="s">
        <v>625</v>
      </c>
      <c r="AC41" s="5" t="s">
        <v>88</v>
      </c>
      <c r="AD41" s="31" t="s">
        <v>596</v>
      </c>
      <c r="AE41" s="36" t="s">
        <v>604</v>
      </c>
      <c r="AF41" s="31" t="s">
        <v>292</v>
      </c>
      <c r="AG41" s="31" t="s">
        <v>75</v>
      </c>
      <c r="AH41" s="31"/>
      <c r="AI41" s="31"/>
      <c r="AJ41" s="31" t="s">
        <v>605</v>
      </c>
      <c r="AK41" s="31" t="s">
        <v>596</v>
      </c>
      <c r="AL41" s="31"/>
      <c r="AM41" s="31"/>
      <c r="AN41" s="31"/>
      <c r="AO41" s="31"/>
      <c r="AP41" s="31"/>
      <c r="AQ41" s="31"/>
      <c r="AR41" s="31" t="s">
        <v>243</v>
      </c>
      <c r="AS41" s="30"/>
      <c r="AT41" s="37"/>
      <c r="AU41" s="37"/>
      <c r="AV41" s="37"/>
      <c r="AW41" s="37"/>
      <c r="AX41" s="37"/>
      <c r="AY41" s="34">
        <v>5</v>
      </c>
      <c r="AZ41" s="38"/>
      <c r="BA41" s="38"/>
      <c r="BB41" s="46"/>
      <c r="BC41" s="37"/>
      <c r="BD41" s="37">
        <v>6</v>
      </c>
      <c r="BE41" s="5"/>
      <c r="BF41" s="5" t="s">
        <v>621</v>
      </c>
      <c r="BG41" s="59" t="s">
        <v>626</v>
      </c>
      <c r="BH41" s="59" t="s">
        <v>622</v>
      </c>
      <c r="BI41" s="59" t="s">
        <v>626</v>
      </c>
      <c r="BJ41" s="60"/>
      <c r="BK41" s="49">
        <v>3</v>
      </c>
    </row>
    <row x14ac:dyDescent="0.25" r="42" customHeight="1" ht="31.5">
      <c r="A42" s="61">
        <v>11095</v>
      </c>
      <c r="B42" s="62" t="s">
        <v>627</v>
      </c>
      <c r="C42" s="4" t="s">
        <v>628</v>
      </c>
      <c r="D42" s="31" t="s">
        <v>629</v>
      </c>
      <c r="E42" s="5"/>
      <c r="F42" s="5" t="s">
        <v>602</v>
      </c>
      <c r="G42" s="5" t="s">
        <v>589</v>
      </c>
      <c r="H42" s="31" t="s">
        <v>386</v>
      </c>
      <c r="I42" s="31"/>
      <c r="J42" s="31"/>
      <c r="K42" s="5"/>
      <c r="L42" s="5"/>
      <c r="M42" s="5" t="s">
        <v>231</v>
      </c>
      <c r="N42" s="5" t="s">
        <v>616</v>
      </c>
      <c r="O42" s="33"/>
      <c r="P42" s="31"/>
      <c r="Q42" s="1" t="s">
        <v>251</v>
      </c>
      <c r="R42" s="31" t="s">
        <v>591</v>
      </c>
      <c r="S42" s="31" t="s">
        <v>592</v>
      </c>
      <c r="T42" s="31"/>
      <c r="U42" s="55" t="s">
        <v>630</v>
      </c>
      <c r="V42" s="5"/>
      <c r="W42" s="40">
        <v>0</v>
      </c>
      <c r="X42" s="41" t="s">
        <v>386</v>
      </c>
      <c r="Y42" s="42"/>
      <c r="Z42" s="38" t="s">
        <v>386</v>
      </c>
      <c r="AA42" s="31"/>
      <c r="AB42" s="31" t="s">
        <v>631</v>
      </c>
      <c r="AC42" s="5" t="s">
        <v>88</v>
      </c>
      <c r="AD42" s="31" t="s">
        <v>596</v>
      </c>
      <c r="AE42" s="36" t="s">
        <v>604</v>
      </c>
      <c r="AF42" s="31" t="s">
        <v>292</v>
      </c>
      <c r="AG42" s="31" t="s">
        <v>97</v>
      </c>
      <c r="AH42" s="31"/>
      <c r="AI42" s="31"/>
      <c r="AJ42" s="31" t="s">
        <v>605</v>
      </c>
      <c r="AK42" s="31" t="s">
        <v>596</v>
      </c>
      <c r="AL42" s="31"/>
      <c r="AM42" s="31"/>
      <c r="AN42" s="31"/>
      <c r="AO42" s="31"/>
      <c r="AP42" s="31"/>
      <c r="AQ42" s="31"/>
      <c r="AR42" s="31" t="s">
        <v>243</v>
      </c>
      <c r="AS42" s="30"/>
      <c r="AT42" s="37"/>
      <c r="AU42" s="37"/>
      <c r="AV42" s="37"/>
      <c r="AW42" s="37"/>
      <c r="AX42" s="37"/>
      <c r="AY42" s="34">
        <v>12</v>
      </c>
      <c r="AZ42" s="38"/>
      <c r="BA42" s="38"/>
      <c r="BB42" s="46"/>
      <c r="BC42" s="37"/>
      <c r="BD42" s="37">
        <v>7</v>
      </c>
      <c r="BE42" s="5"/>
      <c r="BF42" s="62" t="s">
        <v>632</v>
      </c>
      <c r="BG42" s="55" t="s">
        <v>630</v>
      </c>
      <c r="BH42" s="31"/>
      <c r="BI42" s="31" t="s">
        <v>630</v>
      </c>
      <c r="BJ42" s="48"/>
      <c r="BK42" s="49">
        <v>1</v>
      </c>
    </row>
    <row x14ac:dyDescent="0.25" r="43" customHeight="1" ht="31.5">
      <c r="A43" s="30" t="s">
        <v>633</v>
      </c>
      <c r="B43" s="5" t="s">
        <v>634</v>
      </c>
      <c r="C43" s="31" t="s">
        <v>635</v>
      </c>
      <c r="D43" s="31" t="s">
        <v>636</v>
      </c>
      <c r="E43" s="5"/>
      <c r="F43" s="5" t="s">
        <v>637</v>
      </c>
      <c r="G43" s="5" t="s">
        <v>589</v>
      </c>
      <c r="H43" s="31" t="s">
        <v>386</v>
      </c>
      <c r="I43" s="31"/>
      <c r="J43" s="31"/>
      <c r="K43" s="5"/>
      <c r="L43" s="5"/>
      <c r="M43" s="5" t="s">
        <v>231</v>
      </c>
      <c r="N43" s="5" t="s">
        <v>616</v>
      </c>
      <c r="O43" s="33"/>
      <c r="P43" s="31"/>
      <c r="Q43" s="1" t="s">
        <v>251</v>
      </c>
      <c r="R43" s="31" t="s">
        <v>591</v>
      </c>
      <c r="S43" s="31" t="s">
        <v>638</v>
      </c>
      <c r="T43" s="31"/>
      <c r="U43" s="55" t="s">
        <v>635</v>
      </c>
      <c r="V43" s="5"/>
      <c r="W43" s="40">
        <v>0</v>
      </c>
      <c r="X43" s="41" t="s">
        <v>386</v>
      </c>
      <c r="Y43" s="42"/>
      <c r="Z43" s="38" t="s">
        <v>386</v>
      </c>
      <c r="AA43" s="31"/>
      <c r="AB43" s="31" t="s">
        <v>639</v>
      </c>
      <c r="AC43" s="5" t="s">
        <v>24</v>
      </c>
      <c r="AD43" s="31" t="s">
        <v>596</v>
      </c>
      <c r="AE43" s="36" t="s">
        <v>640</v>
      </c>
      <c r="AF43" s="31" t="s">
        <v>641</v>
      </c>
      <c r="AG43" s="31" t="s">
        <v>16</v>
      </c>
      <c r="AH43" s="31"/>
      <c r="AI43" s="31"/>
      <c r="AJ43" s="63" t="s">
        <v>605</v>
      </c>
      <c r="AK43" s="63" t="s">
        <v>596</v>
      </c>
      <c r="AL43" s="31"/>
      <c r="AM43" s="31"/>
      <c r="AN43" s="31"/>
      <c r="AO43" s="31"/>
      <c r="AP43" s="31"/>
      <c r="AQ43" s="31"/>
      <c r="AR43" s="31" t="s">
        <v>243</v>
      </c>
      <c r="AS43" s="30"/>
      <c r="AT43" s="37"/>
      <c r="AU43" s="37"/>
      <c r="AV43" s="37"/>
      <c r="AW43" s="37"/>
      <c r="AX43" s="37"/>
      <c r="AY43" s="34">
        <v>18</v>
      </c>
      <c r="AZ43" s="38"/>
      <c r="BA43" s="38"/>
      <c r="BB43" s="46"/>
      <c r="BC43" s="37"/>
      <c r="BD43" s="37">
        <v>8</v>
      </c>
      <c r="BE43" s="5"/>
      <c r="BF43" s="5" t="s">
        <v>634</v>
      </c>
      <c r="BG43" s="59" t="s">
        <v>642</v>
      </c>
      <c r="BH43" s="59" t="s">
        <v>643</v>
      </c>
      <c r="BI43" s="59" t="s">
        <v>642</v>
      </c>
      <c r="BJ43" s="60"/>
      <c r="BK43" s="49">
        <v>3</v>
      </c>
    </row>
    <row x14ac:dyDescent="0.25" r="44" customHeight="1" ht="31.5">
      <c r="A44" s="30" t="s">
        <v>644</v>
      </c>
      <c r="B44" s="5" t="s">
        <v>645</v>
      </c>
      <c r="C44" s="31" t="s">
        <v>646</v>
      </c>
      <c r="D44" s="31" t="s">
        <v>647</v>
      </c>
      <c r="E44" s="5"/>
      <c r="F44" s="5" t="s">
        <v>637</v>
      </c>
      <c r="G44" s="5" t="s">
        <v>589</v>
      </c>
      <c r="H44" s="31" t="s">
        <v>386</v>
      </c>
      <c r="I44" s="31"/>
      <c r="J44" s="31"/>
      <c r="K44" s="5"/>
      <c r="L44" s="5"/>
      <c r="M44" s="5" t="s">
        <v>231</v>
      </c>
      <c r="N44" s="5" t="s">
        <v>616</v>
      </c>
      <c r="O44" s="33"/>
      <c r="P44" s="31"/>
      <c r="Q44" s="1" t="s">
        <v>251</v>
      </c>
      <c r="R44" s="31" t="s">
        <v>591</v>
      </c>
      <c r="S44" s="31" t="s">
        <v>638</v>
      </c>
      <c r="T44" s="31"/>
      <c r="U44" s="55" t="s">
        <v>646</v>
      </c>
      <c r="V44" s="5"/>
      <c r="W44" s="40">
        <v>0</v>
      </c>
      <c r="X44" s="41" t="s">
        <v>386</v>
      </c>
      <c r="Y44" s="42"/>
      <c r="Z44" s="38" t="s">
        <v>386</v>
      </c>
      <c r="AA44" s="31"/>
      <c r="AB44" s="31" t="s">
        <v>648</v>
      </c>
      <c r="AC44" s="5" t="s">
        <v>24</v>
      </c>
      <c r="AD44" s="31" t="s">
        <v>596</v>
      </c>
      <c r="AE44" s="36" t="s">
        <v>640</v>
      </c>
      <c r="AF44" s="31" t="s">
        <v>649</v>
      </c>
      <c r="AG44" s="31" t="s">
        <v>16</v>
      </c>
      <c r="AH44" s="31"/>
      <c r="AI44" s="31"/>
      <c r="AJ44" s="63" t="s">
        <v>605</v>
      </c>
      <c r="AK44" s="63" t="s">
        <v>596</v>
      </c>
      <c r="AL44" s="31"/>
      <c r="AM44" s="31"/>
      <c r="AN44" s="31"/>
      <c r="AO44" s="31"/>
      <c r="AP44" s="31"/>
      <c r="AQ44" s="31"/>
      <c r="AR44" s="31"/>
      <c r="AS44" s="30"/>
      <c r="AT44" s="37"/>
      <c r="AU44" s="37"/>
      <c r="AV44" s="37"/>
      <c r="AW44" s="37"/>
      <c r="AX44" s="37"/>
      <c r="AY44" s="34">
        <v>19</v>
      </c>
      <c r="AZ44" s="38"/>
      <c r="BA44" s="38"/>
      <c r="BB44" s="46"/>
      <c r="BC44" s="37"/>
      <c r="BD44" s="37">
        <v>9</v>
      </c>
      <c r="BE44" s="5"/>
      <c r="BF44" s="5" t="s">
        <v>645</v>
      </c>
      <c r="BG44" s="59" t="s">
        <v>650</v>
      </c>
      <c r="BH44" s="59" t="s">
        <v>651</v>
      </c>
      <c r="BI44" s="59" t="s">
        <v>650</v>
      </c>
      <c r="BJ44" s="60"/>
      <c r="BK44" s="49">
        <v>3</v>
      </c>
    </row>
    <row x14ac:dyDescent="0.25" r="45" customHeight="1" ht="31.5">
      <c r="A45" s="30">
        <v>11096</v>
      </c>
      <c r="B45" s="5" t="s">
        <v>652</v>
      </c>
      <c r="C45" s="31" t="s">
        <v>653</v>
      </c>
      <c r="D45" s="31" t="s">
        <v>654</v>
      </c>
      <c r="E45" s="5"/>
      <c r="F45" s="5" t="s">
        <v>637</v>
      </c>
      <c r="G45" s="5" t="s">
        <v>589</v>
      </c>
      <c r="H45" s="31" t="s">
        <v>386</v>
      </c>
      <c r="I45" s="31"/>
      <c r="J45" s="31"/>
      <c r="K45" s="5"/>
      <c r="L45" s="5"/>
      <c r="M45" s="5" t="s">
        <v>231</v>
      </c>
      <c r="N45" s="5" t="s">
        <v>616</v>
      </c>
      <c r="O45" s="33"/>
      <c r="P45" s="31"/>
      <c r="Q45" s="1" t="s">
        <v>251</v>
      </c>
      <c r="R45" s="31" t="s">
        <v>591</v>
      </c>
      <c r="S45" s="31" t="s">
        <v>638</v>
      </c>
      <c r="T45" s="31"/>
      <c r="U45" s="55" t="s">
        <v>653</v>
      </c>
      <c r="V45" s="5"/>
      <c r="W45" s="40">
        <v>0</v>
      </c>
      <c r="X45" s="41" t="s">
        <v>386</v>
      </c>
      <c r="Y45" s="42"/>
      <c r="Z45" s="38" t="s">
        <v>386</v>
      </c>
      <c r="AA45" s="31"/>
      <c r="AB45" s="31" t="s">
        <v>655</v>
      </c>
      <c r="AC45" s="5" t="s">
        <v>24</v>
      </c>
      <c r="AD45" s="31" t="s">
        <v>596</v>
      </c>
      <c r="AE45" s="36" t="s">
        <v>640</v>
      </c>
      <c r="AF45" s="31" t="s">
        <v>656</v>
      </c>
      <c r="AG45" s="31" t="s">
        <v>16</v>
      </c>
      <c r="AH45" s="31"/>
      <c r="AI45" s="31"/>
      <c r="AJ45" s="63" t="s">
        <v>605</v>
      </c>
      <c r="AK45" s="63" t="s">
        <v>596</v>
      </c>
      <c r="AL45" s="31"/>
      <c r="AM45" s="31"/>
      <c r="AN45" s="31"/>
      <c r="AO45" s="31"/>
      <c r="AP45" s="31"/>
      <c r="AQ45" s="31"/>
      <c r="AR45" s="31"/>
      <c r="AS45" s="30"/>
      <c r="AT45" s="37"/>
      <c r="AU45" s="37"/>
      <c r="AV45" s="37"/>
      <c r="AW45" s="37"/>
      <c r="AX45" s="37"/>
      <c r="AY45" s="34">
        <v>20</v>
      </c>
      <c r="AZ45" s="38"/>
      <c r="BA45" s="38"/>
      <c r="BB45" s="46"/>
      <c r="BC45" s="37"/>
      <c r="BD45" s="37">
        <v>10</v>
      </c>
      <c r="BE45" s="5"/>
      <c r="BF45" s="5" t="s">
        <v>652</v>
      </c>
      <c r="BG45" s="59" t="s">
        <v>657</v>
      </c>
      <c r="BH45" s="59" t="s">
        <v>658</v>
      </c>
      <c r="BI45" s="59" t="s">
        <v>657</v>
      </c>
      <c r="BJ45" s="60"/>
      <c r="BK45" s="49">
        <v>3</v>
      </c>
    </row>
    <row x14ac:dyDescent="0.25" r="46" customHeight="1" ht="31.5">
      <c r="A46" s="30" t="s">
        <v>659</v>
      </c>
      <c r="B46" s="5" t="s">
        <v>660</v>
      </c>
      <c r="C46" s="31" t="s">
        <v>661</v>
      </c>
      <c r="D46" s="31" t="s">
        <v>662</v>
      </c>
      <c r="E46" s="5"/>
      <c r="F46" s="5" t="s">
        <v>637</v>
      </c>
      <c r="G46" s="5" t="s">
        <v>589</v>
      </c>
      <c r="H46" s="31" t="s">
        <v>386</v>
      </c>
      <c r="I46" s="31"/>
      <c r="J46" s="31"/>
      <c r="K46" s="5"/>
      <c r="L46" s="5"/>
      <c r="M46" s="5" t="s">
        <v>231</v>
      </c>
      <c r="N46" s="5" t="s">
        <v>616</v>
      </c>
      <c r="O46" s="33"/>
      <c r="P46" s="31"/>
      <c r="Q46" s="1" t="s">
        <v>251</v>
      </c>
      <c r="R46" s="31" t="s">
        <v>591</v>
      </c>
      <c r="S46" s="31" t="s">
        <v>638</v>
      </c>
      <c r="T46" s="31"/>
      <c r="U46" s="55" t="s">
        <v>661</v>
      </c>
      <c r="V46" s="5"/>
      <c r="W46" s="40">
        <v>0</v>
      </c>
      <c r="X46" s="41" t="s">
        <v>386</v>
      </c>
      <c r="Y46" s="42"/>
      <c r="Z46" s="38" t="s">
        <v>386</v>
      </c>
      <c r="AA46" s="31"/>
      <c r="AB46" s="31" t="s">
        <v>663</v>
      </c>
      <c r="AC46" s="5" t="s">
        <v>24</v>
      </c>
      <c r="AD46" s="31" t="s">
        <v>596</v>
      </c>
      <c r="AE46" s="36" t="s">
        <v>640</v>
      </c>
      <c r="AF46" s="31" t="s">
        <v>664</v>
      </c>
      <c r="AG46" s="31" t="s">
        <v>16</v>
      </c>
      <c r="AH46" s="31"/>
      <c r="AI46" s="31"/>
      <c r="AJ46" s="63" t="s">
        <v>605</v>
      </c>
      <c r="AK46" s="63" t="s">
        <v>596</v>
      </c>
      <c r="AL46" s="31"/>
      <c r="AM46" s="31"/>
      <c r="AN46" s="31"/>
      <c r="AO46" s="31"/>
      <c r="AP46" s="31"/>
      <c r="AQ46" s="31"/>
      <c r="AR46" s="31"/>
      <c r="AS46" s="30"/>
      <c r="AT46" s="37"/>
      <c r="AU46" s="37"/>
      <c r="AV46" s="37"/>
      <c r="AW46" s="37"/>
      <c r="AX46" s="37"/>
      <c r="AY46" s="34">
        <v>22</v>
      </c>
      <c r="AZ46" s="38"/>
      <c r="BA46" s="38"/>
      <c r="BB46" s="46"/>
      <c r="BC46" s="37"/>
      <c r="BD46" s="37">
        <v>11</v>
      </c>
      <c r="BE46" s="5"/>
      <c r="BF46" s="5" t="s">
        <v>660</v>
      </c>
      <c r="BG46" s="59" t="s">
        <v>665</v>
      </c>
      <c r="BH46" s="59" t="s">
        <v>666</v>
      </c>
      <c r="BI46" s="59" t="s">
        <v>665</v>
      </c>
      <c r="BJ46" s="60"/>
      <c r="BK46" s="49">
        <v>3</v>
      </c>
    </row>
    <row x14ac:dyDescent="0.25" r="47" customHeight="1" ht="31.5">
      <c r="A47" s="30" t="s">
        <v>667</v>
      </c>
      <c r="B47" s="5" t="s">
        <v>668</v>
      </c>
      <c r="C47" s="31" t="s">
        <v>669</v>
      </c>
      <c r="D47" s="31" t="s">
        <v>670</v>
      </c>
      <c r="E47" s="5"/>
      <c r="F47" s="5" t="s">
        <v>637</v>
      </c>
      <c r="G47" s="5" t="s">
        <v>589</v>
      </c>
      <c r="H47" s="31" t="s">
        <v>386</v>
      </c>
      <c r="I47" s="31"/>
      <c r="J47" s="31"/>
      <c r="K47" s="5"/>
      <c r="L47" s="5"/>
      <c r="M47" s="5" t="s">
        <v>231</v>
      </c>
      <c r="N47" s="5" t="s">
        <v>616</v>
      </c>
      <c r="O47" s="33"/>
      <c r="P47" s="31"/>
      <c r="Q47" s="1" t="s">
        <v>251</v>
      </c>
      <c r="R47" s="31" t="s">
        <v>591</v>
      </c>
      <c r="S47" s="31" t="s">
        <v>638</v>
      </c>
      <c r="T47" s="31"/>
      <c r="U47" s="55" t="s">
        <v>669</v>
      </c>
      <c r="V47" s="5"/>
      <c r="W47" s="40">
        <v>0</v>
      </c>
      <c r="X47" s="41" t="s">
        <v>386</v>
      </c>
      <c r="Y47" s="42"/>
      <c r="Z47" s="38" t="s">
        <v>386</v>
      </c>
      <c r="AA47" s="31"/>
      <c r="AB47" s="31" t="s">
        <v>671</v>
      </c>
      <c r="AC47" s="5" t="s">
        <v>24</v>
      </c>
      <c r="AD47" s="31" t="s">
        <v>596</v>
      </c>
      <c r="AE47" s="36" t="s">
        <v>640</v>
      </c>
      <c r="AF47" s="31" t="s">
        <v>672</v>
      </c>
      <c r="AG47" s="31" t="s">
        <v>16</v>
      </c>
      <c r="AH47" s="31"/>
      <c r="AI47" s="31"/>
      <c r="AJ47" s="63" t="s">
        <v>605</v>
      </c>
      <c r="AK47" s="63" t="s">
        <v>596</v>
      </c>
      <c r="AL47" s="31"/>
      <c r="AM47" s="31"/>
      <c r="AN47" s="31"/>
      <c r="AO47" s="31"/>
      <c r="AP47" s="31"/>
      <c r="AQ47" s="31"/>
      <c r="AR47" s="31"/>
      <c r="AS47" s="30"/>
      <c r="AT47" s="37"/>
      <c r="AU47" s="37"/>
      <c r="AV47" s="37"/>
      <c r="AW47" s="37"/>
      <c r="AX47" s="37"/>
      <c r="AY47" s="34">
        <v>21</v>
      </c>
      <c r="AZ47" s="38"/>
      <c r="BA47" s="38"/>
      <c r="BB47" s="46"/>
      <c r="BC47" s="37"/>
      <c r="BD47" s="37">
        <v>12</v>
      </c>
      <c r="BE47" s="5"/>
      <c r="BF47" s="5" t="s">
        <v>668</v>
      </c>
      <c r="BG47" s="59" t="s">
        <v>673</v>
      </c>
      <c r="BH47" s="59" t="s">
        <v>674</v>
      </c>
      <c r="BI47" s="59" t="s">
        <v>673</v>
      </c>
      <c r="BJ47" s="60"/>
      <c r="BK47" s="49">
        <v>3</v>
      </c>
    </row>
    <row x14ac:dyDescent="0.25" r="48" customHeight="1" ht="31.5">
      <c r="A48" s="30" t="s">
        <v>675</v>
      </c>
      <c r="B48" s="5" t="s">
        <v>676</v>
      </c>
      <c r="C48" s="31" t="s">
        <v>677</v>
      </c>
      <c r="D48" s="31" t="s">
        <v>677</v>
      </c>
      <c r="E48" s="5"/>
      <c r="F48" s="5" t="s">
        <v>637</v>
      </c>
      <c r="G48" s="5" t="s">
        <v>589</v>
      </c>
      <c r="H48" s="31" t="s">
        <v>386</v>
      </c>
      <c r="I48" s="31"/>
      <c r="J48" s="31"/>
      <c r="K48" s="5"/>
      <c r="L48" s="5"/>
      <c r="M48" s="5" t="s">
        <v>231</v>
      </c>
      <c r="N48" s="5" t="s">
        <v>616</v>
      </c>
      <c r="O48" s="33"/>
      <c r="P48" s="31"/>
      <c r="Q48" s="1" t="s">
        <v>251</v>
      </c>
      <c r="R48" s="31" t="s">
        <v>591</v>
      </c>
      <c r="S48" s="31" t="s">
        <v>638</v>
      </c>
      <c r="T48" s="31"/>
      <c r="U48" s="55" t="s">
        <v>677</v>
      </c>
      <c r="V48" s="5"/>
      <c r="W48" s="40">
        <v>0</v>
      </c>
      <c r="X48" s="41" t="s">
        <v>386</v>
      </c>
      <c r="Y48" s="42"/>
      <c r="Z48" s="38" t="s">
        <v>386</v>
      </c>
      <c r="AA48" s="31"/>
      <c r="AB48" s="31" t="s">
        <v>678</v>
      </c>
      <c r="AC48" s="5" t="s">
        <v>24</v>
      </c>
      <c r="AD48" s="31" t="s">
        <v>596</v>
      </c>
      <c r="AE48" s="36" t="s">
        <v>640</v>
      </c>
      <c r="AF48" s="31" t="s">
        <v>641</v>
      </c>
      <c r="AG48" s="31" t="s">
        <v>30</v>
      </c>
      <c r="AH48" s="31"/>
      <c r="AI48" s="31"/>
      <c r="AJ48" s="63" t="s">
        <v>605</v>
      </c>
      <c r="AK48" s="63" t="s">
        <v>596</v>
      </c>
      <c r="AL48" s="31"/>
      <c r="AM48" s="31"/>
      <c r="AN48" s="31"/>
      <c r="AO48" s="31"/>
      <c r="AP48" s="31"/>
      <c r="AQ48" s="31"/>
      <c r="AR48" s="31" t="s">
        <v>243</v>
      </c>
      <c r="AS48" s="30"/>
      <c r="AT48" s="37"/>
      <c r="AU48" s="37"/>
      <c r="AV48" s="37"/>
      <c r="AW48" s="37"/>
      <c r="AX48" s="37"/>
      <c r="AY48" s="34">
        <v>23</v>
      </c>
      <c r="AZ48" s="38"/>
      <c r="BA48" s="38"/>
      <c r="BB48" s="46"/>
      <c r="BC48" s="37"/>
      <c r="BD48" s="37">
        <v>13</v>
      </c>
      <c r="BE48" s="5"/>
      <c r="BF48" s="5" t="s">
        <v>676</v>
      </c>
      <c r="BG48" s="59" t="s">
        <v>679</v>
      </c>
      <c r="BH48" s="59" t="s">
        <v>679</v>
      </c>
      <c r="BI48" s="59" t="s">
        <v>679</v>
      </c>
      <c r="BJ48" s="60"/>
      <c r="BK48" s="49">
        <v>3</v>
      </c>
    </row>
    <row x14ac:dyDescent="0.25" r="49" customHeight="1" ht="31.5">
      <c r="A49" s="30" t="s">
        <v>680</v>
      </c>
      <c r="B49" s="5" t="s">
        <v>681</v>
      </c>
      <c r="C49" s="31" t="s">
        <v>682</v>
      </c>
      <c r="D49" s="31" t="s">
        <v>682</v>
      </c>
      <c r="E49" s="5"/>
      <c r="F49" s="5" t="s">
        <v>637</v>
      </c>
      <c r="G49" s="5" t="s">
        <v>589</v>
      </c>
      <c r="H49" s="31" t="s">
        <v>386</v>
      </c>
      <c r="I49" s="31"/>
      <c r="J49" s="31"/>
      <c r="K49" s="5"/>
      <c r="L49" s="5"/>
      <c r="M49" s="5" t="s">
        <v>231</v>
      </c>
      <c r="N49" s="5" t="s">
        <v>616</v>
      </c>
      <c r="O49" s="33"/>
      <c r="P49" s="31"/>
      <c r="Q49" s="1" t="s">
        <v>251</v>
      </c>
      <c r="R49" s="31" t="s">
        <v>591</v>
      </c>
      <c r="S49" s="31" t="s">
        <v>638</v>
      </c>
      <c r="T49" s="31"/>
      <c r="U49" s="55" t="s">
        <v>682</v>
      </c>
      <c r="V49" s="5"/>
      <c r="W49" s="40">
        <v>0</v>
      </c>
      <c r="X49" s="41" t="s">
        <v>386</v>
      </c>
      <c r="Y49" s="42"/>
      <c r="Z49" s="38" t="s">
        <v>386</v>
      </c>
      <c r="AA49" s="31"/>
      <c r="AB49" s="31" t="s">
        <v>683</v>
      </c>
      <c r="AC49" s="5" t="s">
        <v>24</v>
      </c>
      <c r="AD49" s="31" t="s">
        <v>596</v>
      </c>
      <c r="AE49" s="36" t="s">
        <v>640</v>
      </c>
      <c r="AF49" s="31" t="s">
        <v>649</v>
      </c>
      <c r="AG49" s="31" t="s">
        <v>30</v>
      </c>
      <c r="AH49" s="31"/>
      <c r="AI49" s="31"/>
      <c r="AJ49" s="63" t="s">
        <v>605</v>
      </c>
      <c r="AK49" s="63" t="s">
        <v>596</v>
      </c>
      <c r="AL49" s="31"/>
      <c r="AM49" s="31"/>
      <c r="AN49" s="31"/>
      <c r="AO49" s="31"/>
      <c r="AP49" s="31"/>
      <c r="AQ49" s="31"/>
      <c r="AR49" s="31"/>
      <c r="AS49" s="30"/>
      <c r="AT49" s="37"/>
      <c r="AU49" s="37"/>
      <c r="AV49" s="37"/>
      <c r="AW49" s="37"/>
      <c r="AX49" s="37"/>
      <c r="AY49" s="34">
        <v>24</v>
      </c>
      <c r="AZ49" s="38"/>
      <c r="BA49" s="38"/>
      <c r="BB49" s="46"/>
      <c r="BC49" s="37"/>
      <c r="BD49" s="37">
        <v>14</v>
      </c>
      <c r="BE49" s="5"/>
      <c r="BF49" s="5" t="s">
        <v>681</v>
      </c>
      <c r="BG49" s="59" t="s">
        <v>684</v>
      </c>
      <c r="BH49" s="59" t="s">
        <v>684</v>
      </c>
      <c r="BI49" s="59" t="s">
        <v>684</v>
      </c>
      <c r="BJ49" s="60"/>
      <c r="BK49" s="49">
        <v>3</v>
      </c>
    </row>
    <row x14ac:dyDescent="0.25" r="50" customHeight="1" ht="31.5">
      <c r="A50" s="30">
        <v>11097</v>
      </c>
      <c r="B50" s="5" t="s">
        <v>685</v>
      </c>
      <c r="C50" s="31" t="s">
        <v>686</v>
      </c>
      <c r="D50" s="31" t="s">
        <v>686</v>
      </c>
      <c r="E50" s="5"/>
      <c r="F50" s="5" t="s">
        <v>637</v>
      </c>
      <c r="G50" s="5" t="s">
        <v>589</v>
      </c>
      <c r="H50" s="31" t="s">
        <v>386</v>
      </c>
      <c r="I50" s="31"/>
      <c r="J50" s="31"/>
      <c r="K50" s="5"/>
      <c r="L50" s="5"/>
      <c r="M50" s="5" t="s">
        <v>231</v>
      </c>
      <c r="N50" s="5" t="s">
        <v>616</v>
      </c>
      <c r="O50" s="33"/>
      <c r="P50" s="31"/>
      <c r="Q50" s="1" t="s">
        <v>251</v>
      </c>
      <c r="R50" s="31" t="s">
        <v>591</v>
      </c>
      <c r="S50" s="31" t="s">
        <v>638</v>
      </c>
      <c r="T50" s="31"/>
      <c r="U50" s="55" t="s">
        <v>686</v>
      </c>
      <c r="V50" s="5"/>
      <c r="W50" s="40">
        <v>0</v>
      </c>
      <c r="X50" s="41" t="s">
        <v>386</v>
      </c>
      <c r="Y50" s="42"/>
      <c r="Z50" s="38" t="s">
        <v>386</v>
      </c>
      <c r="AA50" s="31"/>
      <c r="AB50" s="31" t="s">
        <v>687</v>
      </c>
      <c r="AC50" s="5" t="s">
        <v>24</v>
      </c>
      <c r="AD50" s="31" t="s">
        <v>596</v>
      </c>
      <c r="AE50" s="36" t="s">
        <v>640</v>
      </c>
      <c r="AF50" s="31" t="s">
        <v>656</v>
      </c>
      <c r="AG50" s="31" t="s">
        <v>30</v>
      </c>
      <c r="AH50" s="31"/>
      <c r="AI50" s="31"/>
      <c r="AJ50" s="63" t="s">
        <v>605</v>
      </c>
      <c r="AK50" s="63" t="s">
        <v>596</v>
      </c>
      <c r="AL50" s="31"/>
      <c r="AM50" s="31"/>
      <c r="AN50" s="31"/>
      <c r="AO50" s="31"/>
      <c r="AP50" s="31"/>
      <c r="AQ50" s="31"/>
      <c r="AR50" s="31"/>
      <c r="AS50" s="30"/>
      <c r="AT50" s="37"/>
      <c r="AU50" s="37"/>
      <c r="AV50" s="37"/>
      <c r="AW50" s="37"/>
      <c r="AX50" s="37"/>
      <c r="AY50" s="34">
        <v>25</v>
      </c>
      <c r="AZ50" s="38"/>
      <c r="BA50" s="38"/>
      <c r="BB50" s="46"/>
      <c r="BC50" s="37"/>
      <c r="BD50" s="37">
        <v>15</v>
      </c>
      <c r="BE50" s="5"/>
      <c r="BF50" s="5" t="s">
        <v>685</v>
      </c>
      <c r="BG50" s="59" t="s">
        <v>688</v>
      </c>
      <c r="BH50" s="59" t="s">
        <v>688</v>
      </c>
      <c r="BI50" s="59" t="s">
        <v>688</v>
      </c>
      <c r="BJ50" s="60"/>
      <c r="BK50" s="49">
        <v>3</v>
      </c>
    </row>
    <row x14ac:dyDescent="0.25" r="51" customHeight="1" ht="31.5">
      <c r="A51" s="30" t="s">
        <v>689</v>
      </c>
      <c r="B51" s="5" t="s">
        <v>690</v>
      </c>
      <c r="C51" s="31" t="s">
        <v>691</v>
      </c>
      <c r="D51" s="31" t="s">
        <v>691</v>
      </c>
      <c r="E51" s="5"/>
      <c r="F51" s="5" t="s">
        <v>637</v>
      </c>
      <c r="G51" s="5" t="s">
        <v>589</v>
      </c>
      <c r="H51" s="31" t="s">
        <v>386</v>
      </c>
      <c r="I51" s="31"/>
      <c r="J51" s="31"/>
      <c r="K51" s="5"/>
      <c r="L51" s="5"/>
      <c r="M51" s="5" t="s">
        <v>231</v>
      </c>
      <c r="N51" s="5" t="s">
        <v>616</v>
      </c>
      <c r="O51" s="33"/>
      <c r="P51" s="31"/>
      <c r="Q51" s="1" t="s">
        <v>251</v>
      </c>
      <c r="R51" s="31" t="s">
        <v>591</v>
      </c>
      <c r="S51" s="31" t="s">
        <v>638</v>
      </c>
      <c r="T51" s="31"/>
      <c r="U51" s="55" t="s">
        <v>691</v>
      </c>
      <c r="V51" s="5"/>
      <c r="W51" s="40">
        <v>0</v>
      </c>
      <c r="X51" s="41" t="s">
        <v>386</v>
      </c>
      <c r="Y51" s="42"/>
      <c r="Z51" s="38" t="s">
        <v>386</v>
      </c>
      <c r="AA51" s="31"/>
      <c r="AB51" s="31" t="s">
        <v>692</v>
      </c>
      <c r="AC51" s="5" t="s">
        <v>24</v>
      </c>
      <c r="AD51" s="31" t="s">
        <v>596</v>
      </c>
      <c r="AE51" s="36" t="s">
        <v>640</v>
      </c>
      <c r="AF51" s="31" t="s">
        <v>664</v>
      </c>
      <c r="AG51" s="31" t="s">
        <v>30</v>
      </c>
      <c r="AH51" s="31"/>
      <c r="AI51" s="31"/>
      <c r="AJ51" s="63" t="s">
        <v>605</v>
      </c>
      <c r="AK51" s="63" t="s">
        <v>596</v>
      </c>
      <c r="AL51" s="31"/>
      <c r="AM51" s="31"/>
      <c r="AN51" s="31"/>
      <c r="AO51" s="31"/>
      <c r="AP51" s="31"/>
      <c r="AQ51" s="31"/>
      <c r="AR51" s="31"/>
      <c r="AS51" s="30"/>
      <c r="AT51" s="37"/>
      <c r="AU51" s="37"/>
      <c r="AV51" s="37"/>
      <c r="AW51" s="37"/>
      <c r="AX51" s="37"/>
      <c r="AY51" s="34">
        <v>27</v>
      </c>
      <c r="AZ51" s="38"/>
      <c r="BA51" s="38"/>
      <c r="BB51" s="46"/>
      <c r="BC51" s="37"/>
      <c r="BD51" s="37">
        <v>16</v>
      </c>
      <c r="BE51" s="5"/>
      <c r="BF51" s="5" t="s">
        <v>690</v>
      </c>
      <c r="BG51" s="59" t="s">
        <v>693</v>
      </c>
      <c r="BH51" s="59" t="s">
        <v>693</v>
      </c>
      <c r="BI51" s="59" t="s">
        <v>693</v>
      </c>
      <c r="BJ51" s="60"/>
      <c r="BK51" s="49">
        <v>3</v>
      </c>
    </row>
    <row x14ac:dyDescent="0.25" r="52" customHeight="1" ht="31.5">
      <c r="A52" s="30" t="s">
        <v>694</v>
      </c>
      <c r="B52" s="5" t="s">
        <v>695</v>
      </c>
      <c r="C52" s="31" t="s">
        <v>696</v>
      </c>
      <c r="D52" s="31" t="s">
        <v>696</v>
      </c>
      <c r="E52" s="5"/>
      <c r="F52" s="5" t="s">
        <v>637</v>
      </c>
      <c r="G52" s="5" t="s">
        <v>589</v>
      </c>
      <c r="H52" s="31" t="s">
        <v>386</v>
      </c>
      <c r="I52" s="31"/>
      <c r="J52" s="31"/>
      <c r="K52" s="5"/>
      <c r="L52" s="5"/>
      <c r="M52" s="5" t="s">
        <v>231</v>
      </c>
      <c r="N52" s="5" t="s">
        <v>616</v>
      </c>
      <c r="O52" s="33"/>
      <c r="P52" s="31"/>
      <c r="Q52" s="1" t="s">
        <v>251</v>
      </c>
      <c r="R52" s="31" t="s">
        <v>591</v>
      </c>
      <c r="S52" s="31" t="s">
        <v>638</v>
      </c>
      <c r="T52" s="31"/>
      <c r="U52" s="55" t="s">
        <v>696</v>
      </c>
      <c r="V52" s="5"/>
      <c r="W52" s="40">
        <v>0</v>
      </c>
      <c r="X52" s="41" t="s">
        <v>386</v>
      </c>
      <c r="Y52" s="42"/>
      <c r="Z52" s="38" t="s">
        <v>386</v>
      </c>
      <c r="AA52" s="31"/>
      <c r="AB52" s="31" t="s">
        <v>697</v>
      </c>
      <c r="AC52" s="5" t="s">
        <v>24</v>
      </c>
      <c r="AD52" s="31" t="s">
        <v>596</v>
      </c>
      <c r="AE52" s="36" t="s">
        <v>640</v>
      </c>
      <c r="AF52" s="31" t="s">
        <v>672</v>
      </c>
      <c r="AG52" s="31" t="s">
        <v>30</v>
      </c>
      <c r="AH52" s="31"/>
      <c r="AI52" s="31"/>
      <c r="AJ52" s="63" t="s">
        <v>605</v>
      </c>
      <c r="AK52" s="63" t="s">
        <v>596</v>
      </c>
      <c r="AL52" s="31"/>
      <c r="AM52" s="31"/>
      <c r="AN52" s="31"/>
      <c r="AO52" s="31"/>
      <c r="AP52" s="31"/>
      <c r="AQ52" s="31"/>
      <c r="AR52" s="31"/>
      <c r="AS52" s="30"/>
      <c r="AT52" s="37"/>
      <c r="AU52" s="37"/>
      <c r="AV52" s="37"/>
      <c r="AW52" s="37"/>
      <c r="AX52" s="37"/>
      <c r="AY52" s="34">
        <v>26</v>
      </c>
      <c r="AZ52" s="38"/>
      <c r="BA52" s="38"/>
      <c r="BB52" s="46"/>
      <c r="BC52" s="37"/>
      <c r="BD52" s="37">
        <v>17</v>
      </c>
      <c r="BE52" s="5"/>
      <c r="BF52" s="5" t="s">
        <v>695</v>
      </c>
      <c r="BG52" s="59" t="s">
        <v>698</v>
      </c>
      <c r="BH52" s="59" t="s">
        <v>698</v>
      </c>
      <c r="BI52" s="59" t="s">
        <v>698</v>
      </c>
      <c r="BJ52" s="60"/>
      <c r="BK52" s="49">
        <v>3</v>
      </c>
    </row>
    <row x14ac:dyDescent="0.25" r="53" customHeight="1" ht="31.5">
      <c r="A53" s="30" t="s">
        <v>699</v>
      </c>
      <c r="B53" s="5" t="s">
        <v>700</v>
      </c>
      <c r="C53" s="31" t="s">
        <v>701</v>
      </c>
      <c r="D53" s="31" t="s">
        <v>702</v>
      </c>
      <c r="E53" s="5"/>
      <c r="F53" s="5" t="s">
        <v>703</v>
      </c>
      <c r="G53" s="5" t="s">
        <v>589</v>
      </c>
      <c r="H53" s="31" t="s">
        <v>386</v>
      </c>
      <c r="I53" s="31"/>
      <c r="J53" s="31"/>
      <c r="K53" s="5"/>
      <c r="L53" s="5"/>
      <c r="M53" s="5" t="s">
        <v>231</v>
      </c>
      <c r="N53" s="5" t="s">
        <v>616</v>
      </c>
      <c r="O53" s="33"/>
      <c r="P53" s="31"/>
      <c r="Q53" s="1" t="s">
        <v>251</v>
      </c>
      <c r="R53" s="31" t="s">
        <v>591</v>
      </c>
      <c r="S53" s="31" t="s">
        <v>638</v>
      </c>
      <c r="T53" s="31"/>
      <c r="U53" s="55" t="s">
        <v>701</v>
      </c>
      <c r="V53" s="5"/>
      <c r="W53" s="40">
        <v>0</v>
      </c>
      <c r="X53" s="41" t="s">
        <v>386</v>
      </c>
      <c r="Y53" s="42"/>
      <c r="Z53" s="38" t="s">
        <v>386</v>
      </c>
      <c r="AA53" s="31"/>
      <c r="AB53" s="31" t="s">
        <v>704</v>
      </c>
      <c r="AC53" s="5" t="s">
        <v>24</v>
      </c>
      <c r="AD53" s="31" t="s">
        <v>596</v>
      </c>
      <c r="AE53" s="36" t="s">
        <v>640</v>
      </c>
      <c r="AF53" s="31" t="s">
        <v>641</v>
      </c>
      <c r="AG53" s="31" t="s">
        <v>44</v>
      </c>
      <c r="AH53" s="31"/>
      <c r="AI53" s="31"/>
      <c r="AJ53" s="63" t="s">
        <v>605</v>
      </c>
      <c r="AK53" s="63" t="s">
        <v>596</v>
      </c>
      <c r="AL53" s="31"/>
      <c r="AM53" s="31"/>
      <c r="AN53" s="31"/>
      <c r="AO53" s="31"/>
      <c r="AP53" s="31"/>
      <c r="AQ53" s="31"/>
      <c r="AR53" s="31" t="s">
        <v>243</v>
      </c>
      <c r="AS53" s="30"/>
      <c r="AT53" s="37"/>
      <c r="AU53" s="37"/>
      <c r="AV53" s="37"/>
      <c r="AW53" s="37"/>
      <c r="AX53" s="37"/>
      <c r="AY53" s="34">
        <v>13</v>
      </c>
      <c r="AZ53" s="38"/>
      <c r="BA53" s="38"/>
      <c r="BB53" s="46"/>
      <c r="BC53" s="37"/>
      <c r="BD53" s="37">
        <v>18</v>
      </c>
      <c r="BE53" s="5"/>
      <c r="BF53" s="5" t="s">
        <v>705</v>
      </c>
      <c r="BG53" s="55" t="s">
        <v>706</v>
      </c>
      <c r="BH53" s="31"/>
      <c r="BI53" s="55" t="s">
        <v>706</v>
      </c>
      <c r="BJ53" s="48"/>
      <c r="BK53" s="49">
        <v>1</v>
      </c>
    </row>
    <row x14ac:dyDescent="0.25" r="54" customHeight="1" ht="31.5">
      <c r="A54" s="30">
        <v>11091</v>
      </c>
      <c r="B54" s="5" t="s">
        <v>707</v>
      </c>
      <c r="C54" s="31" t="s">
        <v>708</v>
      </c>
      <c r="D54" s="31" t="s">
        <v>708</v>
      </c>
      <c r="E54" s="5"/>
      <c r="F54" s="5" t="s">
        <v>637</v>
      </c>
      <c r="G54" s="5" t="s">
        <v>589</v>
      </c>
      <c r="H54" s="31" t="s">
        <v>386</v>
      </c>
      <c r="I54" s="31"/>
      <c r="J54" s="31"/>
      <c r="K54" s="5"/>
      <c r="L54" s="5"/>
      <c r="M54" s="5" t="s">
        <v>231</v>
      </c>
      <c r="N54" s="5" t="s">
        <v>616</v>
      </c>
      <c r="O54" s="33"/>
      <c r="P54" s="31"/>
      <c r="Q54" s="1" t="s">
        <v>251</v>
      </c>
      <c r="R54" s="31" t="s">
        <v>591</v>
      </c>
      <c r="S54" s="31" t="s">
        <v>638</v>
      </c>
      <c r="T54" s="31"/>
      <c r="U54" s="55" t="s">
        <v>708</v>
      </c>
      <c r="V54" s="5"/>
      <c r="W54" s="40">
        <v>0</v>
      </c>
      <c r="X54" s="41" t="s">
        <v>386</v>
      </c>
      <c r="Y54" s="42"/>
      <c r="Z54" s="38" t="s">
        <v>386</v>
      </c>
      <c r="AA54" s="31"/>
      <c r="AB54" s="31" t="s">
        <v>709</v>
      </c>
      <c r="AC54" s="5" t="s">
        <v>24</v>
      </c>
      <c r="AD54" s="31" t="s">
        <v>596</v>
      </c>
      <c r="AE54" s="36" t="s">
        <v>640</v>
      </c>
      <c r="AF54" s="31" t="s">
        <v>649</v>
      </c>
      <c r="AG54" s="31" t="s">
        <v>44</v>
      </c>
      <c r="AH54" s="31"/>
      <c r="AI54" s="31"/>
      <c r="AJ54" s="63" t="s">
        <v>605</v>
      </c>
      <c r="AK54" s="63" t="s">
        <v>596</v>
      </c>
      <c r="AL54" s="31"/>
      <c r="AM54" s="31"/>
      <c r="AN54" s="31"/>
      <c r="AO54" s="31"/>
      <c r="AP54" s="31"/>
      <c r="AQ54" s="31"/>
      <c r="AR54" s="31"/>
      <c r="AS54" s="30"/>
      <c r="AT54" s="37"/>
      <c r="AU54" s="37"/>
      <c r="AV54" s="37"/>
      <c r="AW54" s="37"/>
      <c r="AX54" s="37"/>
      <c r="AY54" s="34">
        <v>14</v>
      </c>
      <c r="AZ54" s="38"/>
      <c r="BA54" s="38"/>
      <c r="BB54" s="46"/>
      <c r="BC54" s="37"/>
      <c r="BD54" s="37">
        <v>19</v>
      </c>
      <c r="BE54" s="5"/>
      <c r="BF54" s="5" t="s">
        <v>707</v>
      </c>
      <c r="BG54" s="55" t="s">
        <v>710</v>
      </c>
      <c r="BH54" s="31"/>
      <c r="BI54" s="31" t="s">
        <v>710</v>
      </c>
      <c r="BJ54" s="48"/>
      <c r="BK54" s="49">
        <v>1</v>
      </c>
    </row>
    <row x14ac:dyDescent="0.25" r="55" customHeight="1" ht="31.5">
      <c r="A55" s="30">
        <v>11092</v>
      </c>
      <c r="B55" s="5" t="s">
        <v>711</v>
      </c>
      <c r="C55" s="31" t="s">
        <v>712</v>
      </c>
      <c r="D55" s="31" t="s">
        <v>712</v>
      </c>
      <c r="E55" s="5"/>
      <c r="F55" s="5" t="s">
        <v>637</v>
      </c>
      <c r="G55" s="5" t="s">
        <v>589</v>
      </c>
      <c r="H55" s="31" t="s">
        <v>386</v>
      </c>
      <c r="I55" s="31"/>
      <c r="J55" s="31"/>
      <c r="K55" s="5"/>
      <c r="L55" s="5"/>
      <c r="M55" s="5" t="s">
        <v>231</v>
      </c>
      <c r="N55" s="5" t="s">
        <v>616</v>
      </c>
      <c r="O55" s="33"/>
      <c r="P55" s="31"/>
      <c r="Q55" s="1" t="s">
        <v>251</v>
      </c>
      <c r="R55" s="31" t="s">
        <v>591</v>
      </c>
      <c r="S55" s="31" t="s">
        <v>638</v>
      </c>
      <c r="T55" s="31"/>
      <c r="U55" s="55" t="s">
        <v>712</v>
      </c>
      <c r="V55" s="5"/>
      <c r="W55" s="40">
        <v>0</v>
      </c>
      <c r="X55" s="41" t="s">
        <v>386</v>
      </c>
      <c r="Y55" s="42"/>
      <c r="Z55" s="38" t="s">
        <v>386</v>
      </c>
      <c r="AA55" s="31"/>
      <c r="AB55" s="31" t="s">
        <v>713</v>
      </c>
      <c r="AC55" s="5" t="s">
        <v>24</v>
      </c>
      <c r="AD55" s="31" t="s">
        <v>596</v>
      </c>
      <c r="AE55" s="36" t="s">
        <v>640</v>
      </c>
      <c r="AF55" s="31" t="s">
        <v>656</v>
      </c>
      <c r="AG55" s="31" t="s">
        <v>44</v>
      </c>
      <c r="AH55" s="31"/>
      <c r="AI55" s="31"/>
      <c r="AJ55" s="63" t="s">
        <v>605</v>
      </c>
      <c r="AK55" s="63" t="s">
        <v>596</v>
      </c>
      <c r="AL55" s="31"/>
      <c r="AM55" s="31"/>
      <c r="AN55" s="31"/>
      <c r="AO55" s="31"/>
      <c r="AP55" s="31"/>
      <c r="AQ55" s="31"/>
      <c r="AR55" s="31"/>
      <c r="AS55" s="30"/>
      <c r="AT55" s="37"/>
      <c r="AU55" s="37"/>
      <c r="AV55" s="37"/>
      <c r="AW55" s="37"/>
      <c r="AX55" s="37"/>
      <c r="AY55" s="34">
        <v>15</v>
      </c>
      <c r="AZ55" s="38"/>
      <c r="BA55" s="38"/>
      <c r="BB55" s="46"/>
      <c r="BC55" s="37"/>
      <c r="BD55" s="37">
        <v>20</v>
      </c>
      <c r="BE55" s="5"/>
      <c r="BF55" s="5" t="s">
        <v>711</v>
      </c>
      <c r="BG55" s="55" t="s">
        <v>714</v>
      </c>
      <c r="BH55" s="31"/>
      <c r="BI55" s="31" t="s">
        <v>714</v>
      </c>
      <c r="BJ55" s="48"/>
      <c r="BK55" s="49">
        <v>1</v>
      </c>
    </row>
    <row x14ac:dyDescent="0.25" r="56" customHeight="1" ht="56.25">
      <c r="A56" s="30">
        <v>11093</v>
      </c>
      <c r="B56" s="5" t="s">
        <v>715</v>
      </c>
      <c r="C56" s="31" t="s">
        <v>716</v>
      </c>
      <c r="D56" s="31" t="s">
        <v>716</v>
      </c>
      <c r="E56" s="5"/>
      <c r="F56" s="5" t="s">
        <v>637</v>
      </c>
      <c r="G56" s="5" t="s">
        <v>589</v>
      </c>
      <c r="H56" s="31" t="s">
        <v>386</v>
      </c>
      <c r="I56" s="31"/>
      <c r="J56" s="31"/>
      <c r="K56" s="5"/>
      <c r="L56" s="5"/>
      <c r="M56" s="5" t="s">
        <v>231</v>
      </c>
      <c r="N56" s="5" t="s">
        <v>616</v>
      </c>
      <c r="O56" s="33"/>
      <c r="P56" s="31"/>
      <c r="Q56" s="1" t="s">
        <v>251</v>
      </c>
      <c r="R56" s="31" t="s">
        <v>591</v>
      </c>
      <c r="S56" s="31" t="s">
        <v>638</v>
      </c>
      <c r="T56" s="31"/>
      <c r="U56" s="55" t="s">
        <v>716</v>
      </c>
      <c r="V56" s="5"/>
      <c r="W56" s="40">
        <v>0</v>
      </c>
      <c r="X56" s="41" t="s">
        <v>386</v>
      </c>
      <c r="Y56" s="42"/>
      <c r="Z56" s="38" t="s">
        <v>386</v>
      </c>
      <c r="AA56" s="31"/>
      <c r="AB56" s="55" t="s">
        <v>717</v>
      </c>
      <c r="AC56" s="5" t="s">
        <v>24</v>
      </c>
      <c r="AD56" s="31" t="s">
        <v>596</v>
      </c>
      <c r="AE56" s="36" t="s">
        <v>640</v>
      </c>
      <c r="AF56" s="31" t="s">
        <v>672</v>
      </c>
      <c r="AG56" s="31" t="s">
        <v>44</v>
      </c>
      <c r="AH56" s="31"/>
      <c r="AI56" s="31"/>
      <c r="AJ56" s="63" t="s">
        <v>605</v>
      </c>
      <c r="AK56" s="63" t="s">
        <v>596</v>
      </c>
      <c r="AL56" s="31"/>
      <c r="AM56" s="31"/>
      <c r="AN56" s="31"/>
      <c r="AO56" s="31"/>
      <c r="AP56" s="31"/>
      <c r="AQ56" s="31"/>
      <c r="AR56" s="31" t="s">
        <v>263</v>
      </c>
      <c r="AS56" s="30"/>
      <c r="AT56" s="37"/>
      <c r="AU56" s="37"/>
      <c r="AV56" s="37"/>
      <c r="AW56" s="37"/>
      <c r="AX56" s="37"/>
      <c r="AY56" s="34">
        <v>16</v>
      </c>
      <c r="AZ56" s="38"/>
      <c r="BA56" s="38"/>
      <c r="BB56" s="46"/>
      <c r="BC56" s="37"/>
      <c r="BD56" s="37">
        <v>21</v>
      </c>
      <c r="BE56" s="5"/>
      <c r="BF56" s="5" t="s">
        <v>715</v>
      </c>
      <c r="BG56" s="55" t="s">
        <v>718</v>
      </c>
      <c r="BH56" s="31"/>
      <c r="BI56" s="31" t="s">
        <v>718</v>
      </c>
      <c r="BJ56" s="48"/>
      <c r="BK56" s="49">
        <v>1</v>
      </c>
    </row>
    <row x14ac:dyDescent="0.25" r="57" customHeight="1" ht="31.5">
      <c r="A57" s="30">
        <v>11094</v>
      </c>
      <c r="B57" s="5" t="s">
        <v>719</v>
      </c>
      <c r="C57" s="31" t="s">
        <v>720</v>
      </c>
      <c r="D57" s="31" t="s">
        <v>720</v>
      </c>
      <c r="E57" s="5"/>
      <c r="F57" s="5" t="s">
        <v>637</v>
      </c>
      <c r="G57" s="5" t="s">
        <v>589</v>
      </c>
      <c r="H57" s="31" t="s">
        <v>386</v>
      </c>
      <c r="I57" s="31"/>
      <c r="J57" s="31"/>
      <c r="K57" s="5"/>
      <c r="L57" s="5"/>
      <c r="M57" s="5" t="s">
        <v>231</v>
      </c>
      <c r="N57" s="5" t="s">
        <v>616</v>
      </c>
      <c r="O57" s="33"/>
      <c r="P57" s="31"/>
      <c r="Q57" s="1" t="s">
        <v>251</v>
      </c>
      <c r="R57" s="31" t="s">
        <v>591</v>
      </c>
      <c r="S57" s="31" t="s">
        <v>638</v>
      </c>
      <c r="T57" s="31"/>
      <c r="U57" s="55" t="s">
        <v>720</v>
      </c>
      <c r="V57" s="5"/>
      <c r="W57" s="40">
        <v>0</v>
      </c>
      <c r="X57" s="41" t="s">
        <v>386</v>
      </c>
      <c r="Y57" s="42"/>
      <c r="Z57" s="38" t="s">
        <v>386</v>
      </c>
      <c r="AA57" s="31"/>
      <c r="AB57" s="31" t="s">
        <v>721</v>
      </c>
      <c r="AC57" s="5" t="s">
        <v>24</v>
      </c>
      <c r="AD57" s="31" t="s">
        <v>596</v>
      </c>
      <c r="AE57" s="36" t="s">
        <v>640</v>
      </c>
      <c r="AF57" s="31" t="s">
        <v>664</v>
      </c>
      <c r="AG57" s="31" t="s">
        <v>44</v>
      </c>
      <c r="AH57" s="31"/>
      <c r="AI57" s="31"/>
      <c r="AJ57" s="63" t="s">
        <v>605</v>
      </c>
      <c r="AK57" s="63" t="s">
        <v>596</v>
      </c>
      <c r="AL57" s="31"/>
      <c r="AM57" s="31"/>
      <c r="AN57" s="31"/>
      <c r="AO57" s="31"/>
      <c r="AP57" s="31"/>
      <c r="AQ57" s="31"/>
      <c r="AR57" s="31"/>
      <c r="AS57" s="30"/>
      <c r="AT57" s="37"/>
      <c r="AU57" s="37"/>
      <c r="AV57" s="37"/>
      <c r="AW57" s="37"/>
      <c r="AX57" s="37"/>
      <c r="AY57" s="34">
        <v>17</v>
      </c>
      <c r="AZ57" s="38"/>
      <c r="BA57" s="38"/>
      <c r="BB57" s="46"/>
      <c r="BC57" s="37"/>
      <c r="BD57" s="37">
        <v>22</v>
      </c>
      <c r="BE57" s="5"/>
      <c r="BF57" s="5" t="s">
        <v>719</v>
      </c>
      <c r="BG57" s="55" t="s">
        <v>722</v>
      </c>
      <c r="BH57" s="31"/>
      <c r="BI57" s="31" t="s">
        <v>722</v>
      </c>
      <c r="BJ57" s="48"/>
      <c r="BK57" s="49">
        <v>1</v>
      </c>
    </row>
    <row x14ac:dyDescent="0.25" r="58" customHeight="1" ht="47.25">
      <c r="A58" s="64">
        <v>10010</v>
      </c>
      <c r="B58" s="65" t="s">
        <v>723</v>
      </c>
      <c r="C58" s="63" t="s">
        <v>724</v>
      </c>
      <c r="D58" s="63" t="s">
        <v>725</v>
      </c>
      <c r="E58" s="65"/>
      <c r="F58" s="65" t="s">
        <v>577</v>
      </c>
      <c r="G58" s="65" t="s">
        <v>589</v>
      </c>
      <c r="H58" s="63" t="s">
        <v>386</v>
      </c>
      <c r="I58" s="63"/>
      <c r="J58" s="63"/>
      <c r="K58" s="65"/>
      <c r="L58" s="65"/>
      <c r="M58" s="65" t="s">
        <v>231</v>
      </c>
      <c r="N58" s="65" t="s">
        <v>726</v>
      </c>
      <c r="O58" s="66">
        <f>CONCATENATE(#REF!,"+",#REF!,"+",#REF!,"+",#REF!,"+",#REF!,"+",#REF!,"+",#REF!,"+",C57)</f>
      </c>
      <c r="P58" s="63" t="s">
        <v>727</v>
      </c>
      <c r="Q58" s="67" t="s">
        <v>728</v>
      </c>
      <c r="R58" s="63" t="s">
        <v>729</v>
      </c>
      <c r="S58" s="68" t="s">
        <v>730</v>
      </c>
      <c r="T58" s="63" t="s">
        <v>731</v>
      </c>
      <c r="U58" s="69" t="s">
        <v>732</v>
      </c>
      <c r="V58" s="65"/>
      <c r="W58" s="70">
        <v>1</v>
      </c>
      <c r="X58" s="68" t="s">
        <v>594</v>
      </c>
      <c r="Y58" s="71"/>
      <c r="Z58" s="72">
        <v>0</v>
      </c>
      <c r="AA58" s="63"/>
      <c r="AB58" s="63" t="s">
        <v>733</v>
      </c>
      <c r="AC58" s="65" t="s">
        <v>52</v>
      </c>
      <c r="AD58" s="63" t="s">
        <v>596</v>
      </c>
      <c r="AE58" s="36" t="s">
        <v>734</v>
      </c>
      <c r="AF58" s="63" t="s">
        <v>735</v>
      </c>
      <c r="AG58" s="63"/>
      <c r="AH58" s="63"/>
      <c r="AI58" s="63"/>
      <c r="AJ58" s="63" t="s">
        <v>605</v>
      </c>
      <c r="AK58" s="63" t="s">
        <v>596</v>
      </c>
      <c r="AL58" s="63"/>
      <c r="AM58" s="63"/>
      <c r="AN58" s="63"/>
      <c r="AO58" s="63"/>
      <c r="AP58" s="63"/>
      <c r="AQ58" s="31"/>
      <c r="AR58" s="31" t="s">
        <v>243</v>
      </c>
      <c r="AS58" s="64"/>
      <c r="AT58" s="73"/>
      <c r="AU58" s="73"/>
      <c r="AV58" s="73"/>
      <c r="AW58" s="73"/>
      <c r="AX58" s="73"/>
      <c r="AY58" s="74">
        <v>39</v>
      </c>
      <c r="AZ58" s="75"/>
      <c r="BA58" s="75"/>
      <c r="BB58" s="76"/>
      <c r="BC58" s="73"/>
      <c r="BD58" s="37">
        <v>24</v>
      </c>
      <c r="BE58" s="65"/>
      <c r="BF58" s="5" t="s">
        <v>736</v>
      </c>
      <c r="BG58" s="69" t="s">
        <v>737</v>
      </c>
      <c r="BH58" s="69" t="s">
        <v>738</v>
      </c>
      <c r="BI58" s="69" t="s">
        <v>738</v>
      </c>
      <c r="BJ58" s="48"/>
      <c r="BK58" s="49">
        <v>3</v>
      </c>
    </row>
    <row x14ac:dyDescent="0.25" r="59" customHeight="1" ht="61.5">
      <c r="A59" s="30" t="s">
        <v>739</v>
      </c>
      <c r="B59" s="5" t="s">
        <v>740</v>
      </c>
      <c r="C59" s="31" t="s">
        <v>741</v>
      </c>
      <c r="D59" s="31" t="s">
        <v>742</v>
      </c>
      <c r="E59" s="5"/>
      <c r="F59" s="5" t="s">
        <v>577</v>
      </c>
      <c r="G59" s="5" t="s">
        <v>589</v>
      </c>
      <c r="H59" s="31" t="s">
        <v>386</v>
      </c>
      <c r="I59" s="31"/>
      <c r="J59" s="31"/>
      <c r="K59" s="5"/>
      <c r="L59" s="5"/>
      <c r="M59" s="5" t="s">
        <v>231</v>
      </c>
      <c r="N59" s="5" t="s">
        <v>726</v>
      </c>
      <c r="O59" s="33" t="s">
        <v>743</v>
      </c>
      <c r="P59" s="31"/>
      <c r="Q59" s="1" t="s">
        <v>251</v>
      </c>
      <c r="R59" s="31" t="s">
        <v>591</v>
      </c>
      <c r="S59" s="31" t="s">
        <v>744</v>
      </c>
      <c r="T59" s="31"/>
      <c r="U59" s="31" t="s">
        <v>741</v>
      </c>
      <c r="V59" s="5"/>
      <c r="W59" s="34">
        <v>1</v>
      </c>
      <c r="X59" s="31" t="s">
        <v>273</v>
      </c>
      <c r="Y59" s="5" t="s">
        <v>256</v>
      </c>
      <c r="Z59" s="34">
        <v>0</v>
      </c>
      <c r="AA59" s="31"/>
      <c r="AB59" s="31" t="s">
        <v>745</v>
      </c>
      <c r="AC59" s="5" t="s">
        <v>52</v>
      </c>
      <c r="AD59" s="31" t="s">
        <v>596</v>
      </c>
      <c r="AE59" s="36" t="s">
        <v>746</v>
      </c>
      <c r="AF59" s="31" t="s">
        <v>735</v>
      </c>
      <c r="AG59" s="31"/>
      <c r="AH59" s="31"/>
      <c r="AI59" s="31"/>
      <c r="AJ59" s="31" t="s">
        <v>747</v>
      </c>
      <c r="AK59" s="31" t="s">
        <v>748</v>
      </c>
      <c r="AL59" s="31"/>
      <c r="AM59" s="31"/>
      <c r="AN59" s="31"/>
      <c r="AO59" s="31"/>
      <c r="AP59" s="31"/>
      <c r="AQ59" s="31"/>
      <c r="AR59" s="31"/>
      <c r="AS59" s="30"/>
      <c r="AT59" s="37"/>
      <c r="AU59" s="37"/>
      <c r="AV59" s="37"/>
      <c r="AW59" s="37"/>
      <c r="AX59" s="37"/>
      <c r="AY59" s="34">
        <v>37</v>
      </c>
      <c r="AZ59" s="38"/>
      <c r="BA59" s="38"/>
      <c r="BB59" s="1"/>
      <c r="BC59" s="37"/>
      <c r="BD59" s="37">
        <v>25</v>
      </c>
      <c r="BE59" s="5"/>
      <c r="BF59" s="5" t="s">
        <v>740</v>
      </c>
      <c r="BG59" s="47" t="s">
        <v>749</v>
      </c>
      <c r="BH59" s="47"/>
      <c r="BI59" s="31" t="s">
        <v>749</v>
      </c>
      <c r="BJ59" s="31"/>
      <c r="BK59" s="30">
        <v>3</v>
      </c>
    </row>
    <row x14ac:dyDescent="0.25" r="60" customHeight="1" ht="31.5">
      <c r="A60" s="30">
        <v>10053</v>
      </c>
      <c r="B60" s="5" t="s">
        <v>750</v>
      </c>
      <c r="C60" s="31" t="s">
        <v>751</v>
      </c>
      <c r="D60" s="31" t="s">
        <v>752</v>
      </c>
      <c r="E60" s="5"/>
      <c r="F60" s="5" t="s">
        <v>577</v>
      </c>
      <c r="G60" s="5" t="s">
        <v>589</v>
      </c>
      <c r="H60" s="31" t="s">
        <v>386</v>
      </c>
      <c r="I60" s="31"/>
      <c r="J60" s="31"/>
      <c r="K60" s="5"/>
      <c r="L60" s="5"/>
      <c r="M60" s="5" t="s">
        <v>231</v>
      </c>
      <c r="N60" s="5" t="s">
        <v>726</v>
      </c>
      <c r="O60" s="33" t="s">
        <v>753</v>
      </c>
      <c r="P60" s="31" t="s">
        <v>754</v>
      </c>
      <c r="Q60" s="1" t="s">
        <v>728</v>
      </c>
      <c r="R60" s="31" t="s">
        <v>755</v>
      </c>
      <c r="S60" s="31" t="s">
        <v>730</v>
      </c>
      <c r="T60" s="31" t="s">
        <v>756</v>
      </c>
      <c r="U60" s="55" t="s">
        <v>757</v>
      </c>
      <c r="V60" s="5"/>
      <c r="W60" s="40">
        <v>1</v>
      </c>
      <c r="X60" s="41" t="s">
        <v>594</v>
      </c>
      <c r="Y60" s="42" t="s">
        <v>758</v>
      </c>
      <c r="Z60" s="35">
        <v>0</v>
      </c>
      <c r="AA60" s="31"/>
      <c r="AB60" s="31" t="s">
        <v>759</v>
      </c>
      <c r="AC60" s="5" t="s">
        <v>38</v>
      </c>
      <c r="AD60" s="31" t="s">
        <v>596</v>
      </c>
      <c r="AE60" s="36" t="s">
        <v>760</v>
      </c>
      <c r="AF60" s="31" t="s">
        <v>292</v>
      </c>
      <c r="AG60" s="31" t="s">
        <v>17</v>
      </c>
      <c r="AH60" s="31" t="s">
        <v>27</v>
      </c>
      <c r="AI60" s="31"/>
      <c r="AJ60" s="31" t="s">
        <v>605</v>
      </c>
      <c r="AK60" s="31" t="s">
        <v>596</v>
      </c>
      <c r="AL60" s="31"/>
      <c r="AM60" s="31"/>
      <c r="AN60" s="31"/>
      <c r="AO60" s="31"/>
      <c r="AP60" s="31"/>
      <c r="AQ60" s="31"/>
      <c r="AR60" s="31"/>
      <c r="AS60" s="30"/>
      <c r="AT60" s="37"/>
      <c r="AU60" s="37"/>
      <c r="AV60" s="37"/>
      <c r="AW60" s="37"/>
      <c r="AX60" s="37"/>
      <c r="AY60" s="34">
        <v>40</v>
      </c>
      <c r="AZ60" s="38"/>
      <c r="BA60" s="38"/>
      <c r="BB60" s="46"/>
      <c r="BC60" s="37"/>
      <c r="BD60" s="37">
        <v>26</v>
      </c>
      <c r="BE60" s="5"/>
      <c r="BF60" s="5" t="s">
        <v>750</v>
      </c>
      <c r="BG60" s="55" t="s">
        <v>761</v>
      </c>
      <c r="BH60" s="55" t="s">
        <v>761</v>
      </c>
      <c r="BI60" s="55" t="s">
        <v>761</v>
      </c>
      <c r="BJ60" s="48"/>
      <c r="BK60" s="49">
        <v>3</v>
      </c>
    </row>
    <row x14ac:dyDescent="0.25" r="61" customHeight="1" ht="31.5">
      <c r="A61" s="30">
        <v>10054</v>
      </c>
      <c r="B61" s="5" t="s">
        <v>762</v>
      </c>
      <c r="C61" s="31" t="s">
        <v>763</v>
      </c>
      <c r="D61" s="31" t="s">
        <v>764</v>
      </c>
      <c r="E61" s="5"/>
      <c r="F61" s="5" t="s">
        <v>226</v>
      </c>
      <c r="G61" s="5" t="s">
        <v>589</v>
      </c>
      <c r="H61" s="31" t="s">
        <v>386</v>
      </c>
      <c r="I61" s="31"/>
      <c r="J61" s="31"/>
      <c r="K61" s="5"/>
      <c r="L61" s="5"/>
      <c r="M61" s="5" t="s">
        <v>231</v>
      </c>
      <c r="N61" s="5" t="s">
        <v>726</v>
      </c>
      <c r="O61" s="53" t="s">
        <v>765</v>
      </c>
      <c r="P61" s="31" t="s">
        <v>766</v>
      </c>
      <c r="Q61" s="1" t="s">
        <v>728</v>
      </c>
      <c r="R61" s="31" t="s">
        <v>591</v>
      </c>
      <c r="S61" s="31" t="s">
        <v>730</v>
      </c>
      <c r="T61" s="31" t="s">
        <v>756</v>
      </c>
      <c r="U61" s="31" t="s">
        <v>767</v>
      </c>
      <c r="V61" s="5"/>
      <c r="W61" s="34">
        <v>1</v>
      </c>
      <c r="X61" s="31" t="s">
        <v>594</v>
      </c>
      <c r="Y61" s="5" t="s">
        <v>256</v>
      </c>
      <c r="Z61" s="35">
        <v>0</v>
      </c>
      <c r="AA61" s="31"/>
      <c r="AB61" s="31" t="s">
        <v>768</v>
      </c>
      <c r="AC61" s="5" t="s">
        <v>52</v>
      </c>
      <c r="AD61" s="31" t="s">
        <v>596</v>
      </c>
      <c r="AE61" s="36" t="s">
        <v>760</v>
      </c>
      <c r="AF61" s="31" t="s">
        <v>292</v>
      </c>
      <c r="AG61" s="31" t="s">
        <v>31</v>
      </c>
      <c r="AH61" s="31" t="s">
        <v>67</v>
      </c>
      <c r="AI61" s="31"/>
      <c r="AJ61" s="31" t="s">
        <v>605</v>
      </c>
      <c r="AK61" s="31" t="s">
        <v>596</v>
      </c>
      <c r="AL61" s="31"/>
      <c r="AM61" s="31"/>
      <c r="AN61" s="31"/>
      <c r="AO61" s="31"/>
      <c r="AP61" s="31"/>
      <c r="AQ61" s="31"/>
      <c r="AR61" s="31" t="s">
        <v>243</v>
      </c>
      <c r="AS61" s="30"/>
      <c r="AT61" s="37"/>
      <c r="AU61" s="37"/>
      <c r="AV61" s="37"/>
      <c r="AW61" s="37"/>
      <c r="AX61" s="37"/>
      <c r="AY61" s="34">
        <v>41</v>
      </c>
      <c r="AZ61" s="38"/>
      <c r="BA61" s="38"/>
      <c r="BB61" s="1"/>
      <c r="BC61" s="37"/>
      <c r="BD61" s="37">
        <v>27</v>
      </c>
      <c r="BE61" s="5"/>
      <c r="BF61" s="5" t="s">
        <v>762</v>
      </c>
      <c r="BG61" s="31" t="s">
        <v>769</v>
      </c>
      <c r="BH61" s="31" t="s">
        <v>769</v>
      </c>
      <c r="BI61" s="31" t="s">
        <v>769</v>
      </c>
      <c r="BJ61" s="31"/>
      <c r="BK61" s="30">
        <v>3</v>
      </c>
    </row>
    <row x14ac:dyDescent="0.25" r="62" customHeight="1" ht="31.5">
      <c r="A62" s="77">
        <v>10056</v>
      </c>
      <c r="B62" s="78" t="s">
        <v>770</v>
      </c>
      <c r="C62" s="79" t="s">
        <v>771</v>
      </c>
      <c r="D62" s="79" t="s">
        <v>772</v>
      </c>
      <c r="E62" s="78"/>
      <c r="F62" s="78" t="s">
        <v>226</v>
      </c>
      <c r="G62" s="78" t="s">
        <v>589</v>
      </c>
      <c r="H62" s="79" t="s">
        <v>386</v>
      </c>
      <c r="I62" s="79"/>
      <c r="J62" s="79"/>
      <c r="K62" s="78"/>
      <c r="L62" s="78"/>
      <c r="M62" s="78" t="s">
        <v>231</v>
      </c>
      <c r="N62" s="78" t="s">
        <v>726</v>
      </c>
      <c r="O62" s="53" t="s">
        <v>773</v>
      </c>
      <c r="P62" s="79" t="s">
        <v>774</v>
      </c>
      <c r="Q62" s="80" t="s">
        <v>728</v>
      </c>
      <c r="R62" s="79" t="s">
        <v>591</v>
      </c>
      <c r="S62" s="79" t="s">
        <v>730</v>
      </c>
      <c r="T62" s="79" t="s">
        <v>756</v>
      </c>
      <c r="U62" s="81" t="s">
        <v>775</v>
      </c>
      <c r="V62" s="78"/>
      <c r="W62" s="82">
        <v>1</v>
      </c>
      <c r="X62" s="83" t="s">
        <v>594</v>
      </c>
      <c r="Y62" s="84" t="s">
        <v>256</v>
      </c>
      <c r="Z62" s="85">
        <v>0</v>
      </c>
      <c r="AA62" s="79"/>
      <c r="AB62" s="79" t="s">
        <v>776</v>
      </c>
      <c r="AC62" s="78" t="s">
        <v>52</v>
      </c>
      <c r="AD62" s="79" t="s">
        <v>596</v>
      </c>
      <c r="AE62" s="79" t="s">
        <v>760</v>
      </c>
      <c r="AF62" s="79" t="s">
        <v>292</v>
      </c>
      <c r="AG62" s="79" t="s">
        <v>57</v>
      </c>
      <c r="AH62" s="31" t="s">
        <v>67</v>
      </c>
      <c r="AI62" s="79"/>
      <c r="AJ62" s="31" t="s">
        <v>605</v>
      </c>
      <c r="AK62" s="31" t="s">
        <v>596</v>
      </c>
      <c r="AL62" s="79"/>
      <c r="AM62" s="79"/>
      <c r="AN62" s="79"/>
      <c r="AO62" s="79"/>
      <c r="AP62" s="79"/>
      <c r="AQ62" s="79"/>
      <c r="AR62" s="79"/>
      <c r="AS62" s="77"/>
      <c r="AT62" s="86"/>
      <c r="AU62" s="86"/>
      <c r="AV62" s="86"/>
      <c r="AW62" s="86"/>
      <c r="AX62" s="86"/>
      <c r="AY62" s="87">
        <v>43</v>
      </c>
      <c r="AZ62" s="88"/>
      <c r="BA62" s="88"/>
      <c r="BB62" s="89"/>
      <c r="BC62" s="86"/>
      <c r="BD62" s="37">
        <v>28</v>
      </c>
      <c r="BE62" s="78"/>
      <c r="BF62" s="78" t="s">
        <v>770</v>
      </c>
      <c r="BG62" s="81" t="s">
        <v>777</v>
      </c>
      <c r="BH62" s="81" t="s">
        <v>777</v>
      </c>
      <c r="BI62" s="81" t="s">
        <v>777</v>
      </c>
      <c r="BJ62" s="48"/>
      <c r="BK62" s="49">
        <v>3</v>
      </c>
    </row>
    <row x14ac:dyDescent="0.25" r="63" customHeight="1" ht="31.5">
      <c r="A63" s="90" t="s">
        <v>386</v>
      </c>
      <c r="B63" s="91" t="s">
        <v>778</v>
      </c>
      <c r="C63" s="52" t="s">
        <v>779</v>
      </c>
      <c r="D63" s="52" t="s">
        <v>780</v>
      </c>
      <c r="E63" s="92"/>
      <c r="F63" s="92" t="s">
        <v>781</v>
      </c>
      <c r="G63" s="92" t="s">
        <v>386</v>
      </c>
      <c r="H63" s="52" t="s">
        <v>386</v>
      </c>
      <c r="I63" s="52" t="s">
        <v>386</v>
      </c>
      <c r="J63" s="52" t="s">
        <v>386</v>
      </c>
      <c r="K63" s="92" t="s">
        <v>782</v>
      </c>
      <c r="L63" s="92" t="s">
        <v>783</v>
      </c>
      <c r="M63" s="92" t="s">
        <v>231</v>
      </c>
      <c r="N63" s="92" t="s">
        <v>386</v>
      </c>
      <c r="O63" s="93"/>
      <c r="P63" s="92"/>
      <c r="Q63" s="92"/>
      <c r="R63" s="52"/>
      <c r="S63" s="52"/>
      <c r="T63" s="52"/>
      <c r="U63" s="52"/>
      <c r="V63" s="92"/>
      <c r="W63" s="94"/>
      <c r="X63" s="52"/>
      <c r="Y63" s="92"/>
      <c r="Z63" s="95">
        <v>1</v>
      </c>
      <c r="AA63" s="52"/>
      <c r="AB63" s="52" t="s">
        <v>784</v>
      </c>
      <c r="AC63" s="92" t="s">
        <v>76</v>
      </c>
      <c r="AD63" s="52" t="s">
        <v>259</v>
      </c>
      <c r="AE63" s="96" t="s">
        <v>785</v>
      </c>
      <c r="AF63" s="52"/>
      <c r="AG63" s="52"/>
      <c r="AH63" s="52"/>
      <c r="AI63" s="52"/>
      <c r="AJ63" s="52"/>
      <c r="AK63" s="52"/>
      <c r="AL63" s="52"/>
      <c r="AM63" s="52"/>
      <c r="AN63" s="52"/>
      <c r="AO63" s="52"/>
      <c r="AP63" s="52"/>
      <c r="AQ63" s="52"/>
      <c r="AR63" s="52" t="s">
        <v>243</v>
      </c>
      <c r="AS63" s="90"/>
      <c r="AT63" s="97"/>
      <c r="AU63" s="97"/>
      <c r="AV63" s="97"/>
      <c r="AW63" s="97"/>
      <c r="AX63" s="97"/>
      <c r="AY63" s="94"/>
      <c r="AZ63" s="94"/>
      <c r="BA63" s="94"/>
      <c r="BB63" s="46"/>
      <c r="BC63" s="98">
        <v>62</v>
      </c>
      <c r="BD63" s="97">
        <v>29</v>
      </c>
      <c r="BE63" s="92"/>
      <c r="BF63" s="92"/>
      <c r="BG63" s="52"/>
      <c r="BH63" s="52" t="s">
        <v>786</v>
      </c>
      <c r="BI63" s="52"/>
      <c r="BJ63" s="48"/>
      <c r="BK63" s="49">
        <v>2</v>
      </c>
    </row>
    <row x14ac:dyDescent="0.25" r="64" customHeight="1" ht="47.25">
      <c r="A64" s="30">
        <v>10059</v>
      </c>
      <c r="B64" s="5" t="s">
        <v>787</v>
      </c>
      <c r="C64" s="31" t="s">
        <v>788</v>
      </c>
      <c r="D64" s="31" t="s">
        <v>789</v>
      </c>
      <c r="E64" s="5"/>
      <c r="F64" s="5" t="s">
        <v>577</v>
      </c>
      <c r="G64" s="5" t="s">
        <v>589</v>
      </c>
      <c r="H64" s="31" t="s">
        <v>386</v>
      </c>
      <c r="I64" s="31"/>
      <c r="J64" s="31"/>
      <c r="K64" s="5"/>
      <c r="L64" s="5"/>
      <c r="M64" s="5" t="s">
        <v>231</v>
      </c>
      <c r="N64" s="5" t="s">
        <v>726</v>
      </c>
      <c r="O64" s="33" t="s">
        <v>790</v>
      </c>
      <c r="P64" s="31" t="s">
        <v>791</v>
      </c>
      <c r="Q64" s="1" t="s">
        <v>728</v>
      </c>
      <c r="R64" s="31" t="s">
        <v>755</v>
      </c>
      <c r="S64" s="31" t="s">
        <v>730</v>
      </c>
      <c r="T64" s="31" t="s">
        <v>756</v>
      </c>
      <c r="U64" s="31" t="s">
        <v>792</v>
      </c>
      <c r="V64" s="5"/>
      <c r="W64" s="34">
        <v>1</v>
      </c>
      <c r="X64" s="31" t="s">
        <v>594</v>
      </c>
      <c r="Y64" s="5"/>
      <c r="Z64" s="35">
        <v>0</v>
      </c>
      <c r="AA64" s="31"/>
      <c r="AB64" s="31" t="s">
        <v>793</v>
      </c>
      <c r="AC64" s="5" t="s">
        <v>38</v>
      </c>
      <c r="AD64" s="31" t="s">
        <v>596</v>
      </c>
      <c r="AE64" s="36" t="s">
        <v>760</v>
      </c>
      <c r="AF64" s="31" t="s">
        <v>292</v>
      </c>
      <c r="AG64" s="31" t="s">
        <v>69</v>
      </c>
      <c r="AH64" s="31" t="s">
        <v>27</v>
      </c>
      <c r="AI64" s="31"/>
      <c r="AJ64" s="31" t="s">
        <v>605</v>
      </c>
      <c r="AK64" s="31" t="s">
        <v>596</v>
      </c>
      <c r="AL64" s="31"/>
      <c r="AM64" s="31"/>
      <c r="AN64" s="31"/>
      <c r="AO64" s="31"/>
      <c r="AP64" s="31"/>
      <c r="AQ64" s="31"/>
      <c r="AR64" s="31" t="s">
        <v>243</v>
      </c>
      <c r="AS64" s="30"/>
      <c r="AT64" s="37"/>
      <c r="AU64" s="37"/>
      <c r="AV64" s="37"/>
      <c r="AW64" s="37"/>
      <c r="AX64" s="37"/>
      <c r="AY64" s="34">
        <v>44</v>
      </c>
      <c r="AZ64" s="38"/>
      <c r="BA64" s="38"/>
      <c r="BB64" s="1"/>
      <c r="BC64" s="37"/>
      <c r="BD64" s="37">
        <v>30</v>
      </c>
      <c r="BE64" s="5"/>
      <c r="BF64" s="5" t="s">
        <v>787</v>
      </c>
      <c r="BG64" s="31" t="s">
        <v>794</v>
      </c>
      <c r="BH64" s="31" t="s">
        <v>795</v>
      </c>
      <c r="BI64" s="31" t="s">
        <v>794</v>
      </c>
      <c r="BJ64" s="31"/>
      <c r="BK64" s="30">
        <v>3</v>
      </c>
    </row>
    <row x14ac:dyDescent="0.25" r="65" customHeight="1" ht="31.5">
      <c r="A65" s="90" t="s">
        <v>386</v>
      </c>
      <c r="B65" s="91" t="s">
        <v>778</v>
      </c>
      <c r="C65" s="52" t="s">
        <v>796</v>
      </c>
      <c r="D65" s="52" t="s">
        <v>780</v>
      </c>
      <c r="E65" s="92"/>
      <c r="F65" s="92" t="s">
        <v>797</v>
      </c>
      <c r="G65" s="92" t="s">
        <v>386</v>
      </c>
      <c r="H65" s="52" t="s">
        <v>386</v>
      </c>
      <c r="I65" s="52" t="s">
        <v>386</v>
      </c>
      <c r="J65" s="52" t="s">
        <v>386</v>
      </c>
      <c r="K65" s="92" t="s">
        <v>798</v>
      </c>
      <c r="L65" s="92" t="s">
        <v>799</v>
      </c>
      <c r="M65" s="92" t="s">
        <v>231</v>
      </c>
      <c r="N65" s="92" t="s">
        <v>386</v>
      </c>
      <c r="O65" s="93"/>
      <c r="P65" s="92"/>
      <c r="Q65" s="92"/>
      <c r="R65" s="52"/>
      <c r="S65" s="52"/>
      <c r="T65" s="52"/>
      <c r="U65" s="52"/>
      <c r="V65" s="92"/>
      <c r="W65" s="94"/>
      <c r="X65" s="52"/>
      <c r="Y65" s="92"/>
      <c r="Z65" s="95">
        <v>1</v>
      </c>
      <c r="AA65" s="52"/>
      <c r="AB65" s="52" t="s">
        <v>800</v>
      </c>
      <c r="AC65" s="92" t="s">
        <v>76</v>
      </c>
      <c r="AD65" s="52" t="s">
        <v>259</v>
      </c>
      <c r="AE65" s="96" t="s">
        <v>785</v>
      </c>
      <c r="AF65" s="52"/>
      <c r="AG65" s="52"/>
      <c r="AH65" s="52"/>
      <c r="AI65" s="52"/>
      <c r="AJ65" s="52"/>
      <c r="AK65" s="52"/>
      <c r="AL65" s="52"/>
      <c r="AM65" s="52"/>
      <c r="AN65" s="52"/>
      <c r="AO65" s="52"/>
      <c r="AP65" s="52"/>
      <c r="AQ65" s="52"/>
      <c r="AR65" s="52" t="s">
        <v>243</v>
      </c>
      <c r="AS65" s="90"/>
      <c r="AT65" s="97"/>
      <c r="AU65" s="97"/>
      <c r="AV65" s="97"/>
      <c r="AW65" s="97"/>
      <c r="AX65" s="97"/>
      <c r="AY65" s="94"/>
      <c r="AZ65" s="94"/>
      <c r="BA65" s="94"/>
      <c r="BB65" s="46"/>
      <c r="BC65" s="97">
        <v>65</v>
      </c>
      <c r="BD65" s="97">
        <v>31</v>
      </c>
      <c r="BE65" s="92"/>
      <c r="BF65" s="92"/>
      <c r="BG65" s="52"/>
      <c r="BH65" s="52" t="s">
        <v>801</v>
      </c>
      <c r="BI65" s="52"/>
      <c r="BJ65" s="48"/>
      <c r="BK65" s="49">
        <v>2</v>
      </c>
    </row>
    <row x14ac:dyDescent="0.25" r="66" customHeight="1" ht="31.5">
      <c r="A66" s="30" t="s">
        <v>802</v>
      </c>
      <c r="B66" s="5" t="s">
        <v>803</v>
      </c>
      <c r="C66" s="31" t="s">
        <v>804</v>
      </c>
      <c r="D66" s="31" t="s">
        <v>805</v>
      </c>
      <c r="E66" s="5"/>
      <c r="F66" s="5" t="s">
        <v>226</v>
      </c>
      <c r="G66" s="5" t="s">
        <v>589</v>
      </c>
      <c r="H66" s="31" t="s">
        <v>386</v>
      </c>
      <c r="I66" s="31"/>
      <c r="J66" s="31"/>
      <c r="K66" s="5"/>
      <c r="L66" s="5"/>
      <c r="M66" s="5" t="s">
        <v>231</v>
      </c>
      <c r="N66" s="5" t="s">
        <v>726</v>
      </c>
      <c r="O66" s="53" t="s">
        <v>806</v>
      </c>
      <c r="P66" s="31" t="s">
        <v>807</v>
      </c>
      <c r="Q66" s="1" t="s">
        <v>728</v>
      </c>
      <c r="R66" s="31" t="s">
        <v>591</v>
      </c>
      <c r="S66" s="31" t="s">
        <v>730</v>
      </c>
      <c r="T66" s="31" t="s">
        <v>756</v>
      </c>
      <c r="U66" s="31" t="s">
        <v>808</v>
      </c>
      <c r="V66" s="5"/>
      <c r="W66" s="34">
        <v>1</v>
      </c>
      <c r="X66" s="31" t="s">
        <v>594</v>
      </c>
      <c r="Y66" s="5"/>
      <c r="Z66" s="35">
        <v>0</v>
      </c>
      <c r="AA66" s="31"/>
      <c r="AB66" s="31" t="s">
        <v>809</v>
      </c>
      <c r="AC66" s="5" t="s">
        <v>52</v>
      </c>
      <c r="AD66" s="31" t="s">
        <v>596</v>
      </c>
      <c r="AE66" s="36" t="s">
        <v>760</v>
      </c>
      <c r="AF66" s="31" t="s">
        <v>292</v>
      </c>
      <c r="AG66" s="31" t="s">
        <v>81</v>
      </c>
      <c r="AH66" s="31" t="s">
        <v>67</v>
      </c>
      <c r="AI66" s="31"/>
      <c r="AJ66" s="31" t="s">
        <v>605</v>
      </c>
      <c r="AK66" s="31" t="s">
        <v>596</v>
      </c>
      <c r="AL66" s="31"/>
      <c r="AM66" s="31"/>
      <c r="AN66" s="31"/>
      <c r="AO66" s="31"/>
      <c r="AP66" s="31"/>
      <c r="AQ66" s="31"/>
      <c r="AR66" s="31" t="s">
        <v>243</v>
      </c>
      <c r="AS66" s="30"/>
      <c r="AT66" s="37"/>
      <c r="AU66" s="37"/>
      <c r="AV66" s="37"/>
      <c r="AW66" s="37"/>
      <c r="AX66" s="37"/>
      <c r="AY66" s="34">
        <v>45</v>
      </c>
      <c r="AZ66" s="38"/>
      <c r="BA66" s="38"/>
      <c r="BB66" s="1"/>
      <c r="BC66" s="37"/>
      <c r="BD66" s="37">
        <v>32</v>
      </c>
      <c r="BE66" s="5"/>
      <c r="BF66" s="5" t="s">
        <v>803</v>
      </c>
      <c r="BG66" s="31" t="s">
        <v>810</v>
      </c>
      <c r="BH66" s="31" t="s">
        <v>810</v>
      </c>
      <c r="BI66" s="31" t="s">
        <v>810</v>
      </c>
      <c r="BJ66" s="31"/>
      <c r="BK66" s="30">
        <v>3</v>
      </c>
    </row>
    <row x14ac:dyDescent="0.25" r="67" customHeight="1" ht="31.5">
      <c r="A67" s="90" t="s">
        <v>386</v>
      </c>
      <c r="B67" s="91" t="s">
        <v>778</v>
      </c>
      <c r="C67" s="52" t="s">
        <v>811</v>
      </c>
      <c r="D67" s="52" t="s">
        <v>780</v>
      </c>
      <c r="E67" s="92"/>
      <c r="F67" s="92" t="s">
        <v>797</v>
      </c>
      <c r="G67" s="92" t="s">
        <v>386</v>
      </c>
      <c r="H67" s="52" t="s">
        <v>386</v>
      </c>
      <c r="I67" s="52" t="s">
        <v>386</v>
      </c>
      <c r="J67" s="52" t="s">
        <v>386</v>
      </c>
      <c r="K67" s="92" t="s">
        <v>812</v>
      </c>
      <c r="L67" s="92" t="s">
        <v>813</v>
      </c>
      <c r="M67" s="92" t="s">
        <v>231</v>
      </c>
      <c r="N67" s="92" t="s">
        <v>386</v>
      </c>
      <c r="O67" s="93"/>
      <c r="P67" s="92"/>
      <c r="Q67" s="92"/>
      <c r="R67" s="52"/>
      <c r="S67" s="52"/>
      <c r="T67" s="52"/>
      <c r="U67" s="52"/>
      <c r="V67" s="92"/>
      <c r="W67" s="94"/>
      <c r="X67" s="52"/>
      <c r="Y67" s="92"/>
      <c r="Z67" s="95">
        <v>1</v>
      </c>
      <c r="AA67" s="52"/>
      <c r="AB67" s="52" t="s">
        <v>814</v>
      </c>
      <c r="AC67" s="92" t="s">
        <v>76</v>
      </c>
      <c r="AD67" s="52" t="s">
        <v>259</v>
      </c>
      <c r="AE67" s="96" t="s">
        <v>785</v>
      </c>
      <c r="AF67" s="52"/>
      <c r="AG67" s="52"/>
      <c r="AH67" s="52"/>
      <c r="AI67" s="52"/>
      <c r="AJ67" s="52"/>
      <c r="AK67" s="52"/>
      <c r="AL67" s="52"/>
      <c r="AM67" s="52"/>
      <c r="AN67" s="52"/>
      <c r="AO67" s="52"/>
      <c r="AP67" s="52"/>
      <c r="AQ67" s="52"/>
      <c r="AR67" s="52" t="s">
        <v>243</v>
      </c>
      <c r="AS67" s="90"/>
      <c r="AT67" s="97"/>
      <c r="AU67" s="97"/>
      <c r="AV67" s="97"/>
      <c r="AW67" s="97"/>
      <c r="AX67" s="97"/>
      <c r="AY67" s="94"/>
      <c r="AZ67" s="94"/>
      <c r="BA67" s="94"/>
      <c r="BB67" s="46"/>
      <c r="BC67" s="97">
        <v>68</v>
      </c>
      <c r="BD67" s="97">
        <v>33</v>
      </c>
      <c r="BE67" s="92"/>
      <c r="BF67" s="92"/>
      <c r="BG67" s="52"/>
      <c r="BH67" s="52" t="s">
        <v>815</v>
      </c>
      <c r="BI67" s="52"/>
      <c r="BJ67" s="48"/>
      <c r="BK67" s="49">
        <v>2</v>
      </c>
    </row>
    <row x14ac:dyDescent="0.25" r="68" customHeight="1" ht="31.5">
      <c r="A68" s="30" t="s">
        <v>816</v>
      </c>
      <c r="B68" s="5" t="s">
        <v>817</v>
      </c>
      <c r="C68" s="31" t="s">
        <v>818</v>
      </c>
      <c r="D68" s="31" t="s">
        <v>819</v>
      </c>
      <c r="E68" s="5"/>
      <c r="F68" s="5" t="s">
        <v>637</v>
      </c>
      <c r="G68" s="5" t="s">
        <v>589</v>
      </c>
      <c r="H68" s="31" t="s">
        <v>386</v>
      </c>
      <c r="I68" s="31"/>
      <c r="J68" s="31"/>
      <c r="K68" s="5"/>
      <c r="L68" s="5"/>
      <c r="M68" s="5" t="s">
        <v>820</v>
      </c>
      <c r="N68" s="5" t="s">
        <v>821</v>
      </c>
      <c r="O68" s="5" t="s">
        <v>822</v>
      </c>
      <c r="P68" s="31" t="s">
        <v>823</v>
      </c>
      <c r="Q68" s="1" t="s">
        <v>824</v>
      </c>
      <c r="R68" s="31" t="s">
        <v>591</v>
      </c>
      <c r="S68" s="31" t="s">
        <v>825</v>
      </c>
      <c r="T68" s="31"/>
      <c r="U68" s="31" t="s">
        <v>818</v>
      </c>
      <c r="V68" s="5"/>
      <c r="W68" s="34">
        <v>1</v>
      </c>
      <c r="X68" s="31" t="s">
        <v>826</v>
      </c>
      <c r="Y68" s="5"/>
      <c r="Z68" s="34">
        <v>1</v>
      </c>
      <c r="AA68" s="31"/>
      <c r="AB68" s="31" t="s">
        <v>827</v>
      </c>
      <c r="AC68" s="5" t="s">
        <v>76</v>
      </c>
      <c r="AD68" s="31" t="s">
        <v>259</v>
      </c>
      <c r="AE68" s="31" t="s">
        <v>828</v>
      </c>
      <c r="AF68" s="31" t="s">
        <v>829</v>
      </c>
      <c r="AG68" s="31"/>
      <c r="AH68" s="31"/>
      <c r="AI68" s="31"/>
      <c r="AJ68" s="31" t="s">
        <v>262</v>
      </c>
      <c r="AK68" s="31" t="s">
        <v>259</v>
      </c>
      <c r="AL68" s="31"/>
      <c r="AM68" s="31"/>
      <c r="AN68" s="31" t="s">
        <v>830</v>
      </c>
      <c r="AO68" s="31" t="s">
        <v>259</v>
      </c>
      <c r="AP68" s="31" t="s">
        <v>831</v>
      </c>
      <c r="AQ68" s="31"/>
      <c r="AR68" s="31" t="s">
        <v>243</v>
      </c>
      <c r="AS68" s="30"/>
      <c r="AT68" s="37"/>
      <c r="AU68" s="37"/>
      <c r="AV68" s="37"/>
      <c r="AW68" s="37"/>
      <c r="AX68" s="37"/>
      <c r="AY68" s="38"/>
      <c r="AZ68" s="34">
        <v>15</v>
      </c>
      <c r="BA68" s="38"/>
      <c r="BB68" s="1"/>
      <c r="BC68" s="37"/>
      <c r="BD68" s="37">
        <v>34</v>
      </c>
      <c r="BE68" s="5"/>
      <c r="BF68" s="5" t="s">
        <v>817</v>
      </c>
      <c r="BG68" s="31" t="s">
        <v>832</v>
      </c>
      <c r="BH68" s="31" t="s">
        <v>832</v>
      </c>
      <c r="BI68" s="31" t="s">
        <v>832</v>
      </c>
      <c r="BJ68" s="31"/>
      <c r="BK68" s="30">
        <v>3</v>
      </c>
    </row>
    <row x14ac:dyDescent="0.25" r="69" customHeight="1" ht="31.5">
      <c r="A69" s="30">
        <v>10060</v>
      </c>
      <c r="B69" s="5" t="s">
        <v>833</v>
      </c>
      <c r="C69" s="31" t="s">
        <v>834</v>
      </c>
      <c r="D69" s="31" t="s">
        <v>835</v>
      </c>
      <c r="E69" s="5"/>
      <c r="F69" s="5" t="s">
        <v>577</v>
      </c>
      <c r="G69" s="5" t="s">
        <v>589</v>
      </c>
      <c r="H69" s="31" t="s">
        <v>386</v>
      </c>
      <c r="I69" s="31"/>
      <c r="J69" s="31"/>
      <c r="K69" s="5"/>
      <c r="L69" s="5"/>
      <c r="M69" s="5" t="s">
        <v>231</v>
      </c>
      <c r="N69" s="5" t="s">
        <v>726</v>
      </c>
      <c r="O69" s="33" t="s">
        <v>836</v>
      </c>
      <c r="P69" s="31" t="s">
        <v>837</v>
      </c>
      <c r="Q69" s="1" t="s">
        <v>728</v>
      </c>
      <c r="R69" s="31" t="s">
        <v>755</v>
      </c>
      <c r="S69" s="31" t="s">
        <v>730</v>
      </c>
      <c r="T69" s="31" t="s">
        <v>756</v>
      </c>
      <c r="U69" s="31" t="s">
        <v>838</v>
      </c>
      <c r="V69" s="5"/>
      <c r="W69" s="34">
        <v>1</v>
      </c>
      <c r="X69" s="31" t="s">
        <v>594</v>
      </c>
      <c r="Y69" s="5"/>
      <c r="Z69" s="35">
        <v>0</v>
      </c>
      <c r="AA69" s="31"/>
      <c r="AB69" s="31" t="s">
        <v>839</v>
      </c>
      <c r="AC69" s="5" t="s">
        <v>38</v>
      </c>
      <c r="AD69" s="31" t="s">
        <v>596</v>
      </c>
      <c r="AE69" s="36" t="s">
        <v>760</v>
      </c>
      <c r="AF69" s="31" t="s">
        <v>292</v>
      </c>
      <c r="AG69" s="31" t="s">
        <v>92</v>
      </c>
      <c r="AH69" s="31" t="s">
        <v>27</v>
      </c>
      <c r="AI69" s="31"/>
      <c r="AJ69" s="31" t="s">
        <v>605</v>
      </c>
      <c r="AK69" s="31" t="s">
        <v>596</v>
      </c>
      <c r="AL69" s="31"/>
      <c r="AM69" s="31"/>
      <c r="AN69" s="31"/>
      <c r="AO69" s="31"/>
      <c r="AP69" s="31"/>
      <c r="AQ69" s="31"/>
      <c r="AR69" s="31" t="s">
        <v>243</v>
      </c>
      <c r="AS69" s="30"/>
      <c r="AT69" s="37"/>
      <c r="AU69" s="37"/>
      <c r="AV69" s="37"/>
      <c r="AW69" s="37"/>
      <c r="AX69" s="37"/>
      <c r="AY69" s="34">
        <v>46</v>
      </c>
      <c r="AZ69" s="38"/>
      <c r="BA69" s="38"/>
      <c r="BB69" s="1"/>
      <c r="BC69" s="37"/>
      <c r="BD69" s="37">
        <v>35</v>
      </c>
      <c r="BE69" s="5"/>
      <c r="BF69" s="5" t="s">
        <v>833</v>
      </c>
      <c r="BG69" s="31" t="s">
        <v>840</v>
      </c>
      <c r="BH69" s="31" t="s">
        <v>841</v>
      </c>
      <c r="BI69" s="31" t="s">
        <v>841</v>
      </c>
      <c r="BJ69" s="31"/>
      <c r="BK69" s="30">
        <v>3</v>
      </c>
    </row>
    <row x14ac:dyDescent="0.25" r="70" customHeight="1" ht="31.5">
      <c r="A70" s="30">
        <v>10061</v>
      </c>
      <c r="B70" s="5" t="s">
        <v>842</v>
      </c>
      <c r="C70" s="31" t="s">
        <v>843</v>
      </c>
      <c r="D70" s="31" t="s">
        <v>844</v>
      </c>
      <c r="E70" s="5"/>
      <c r="F70" s="5" t="s">
        <v>226</v>
      </c>
      <c r="G70" s="5" t="s">
        <v>589</v>
      </c>
      <c r="H70" s="31" t="s">
        <v>386</v>
      </c>
      <c r="I70" s="31"/>
      <c r="J70" s="31"/>
      <c r="K70" s="5"/>
      <c r="L70" s="5"/>
      <c r="M70" s="5" t="s">
        <v>231</v>
      </c>
      <c r="N70" s="5" t="s">
        <v>726</v>
      </c>
      <c r="O70" s="53" t="s">
        <v>845</v>
      </c>
      <c r="P70" s="31" t="s">
        <v>846</v>
      </c>
      <c r="Q70" s="1" t="s">
        <v>728</v>
      </c>
      <c r="R70" s="31" t="s">
        <v>755</v>
      </c>
      <c r="S70" s="31" t="s">
        <v>730</v>
      </c>
      <c r="T70" s="31" t="s">
        <v>756</v>
      </c>
      <c r="U70" s="31" t="s">
        <v>847</v>
      </c>
      <c r="V70" s="5"/>
      <c r="W70" s="34">
        <v>1</v>
      </c>
      <c r="X70" s="31" t="s">
        <v>594</v>
      </c>
      <c r="Y70" s="5"/>
      <c r="Z70" s="35">
        <v>0</v>
      </c>
      <c r="AA70" s="31"/>
      <c r="AB70" s="31" t="s">
        <v>848</v>
      </c>
      <c r="AC70" s="5" t="s">
        <v>52</v>
      </c>
      <c r="AD70" s="31" t="s">
        <v>596</v>
      </c>
      <c r="AE70" s="36" t="s">
        <v>760</v>
      </c>
      <c r="AF70" s="31" t="s">
        <v>292</v>
      </c>
      <c r="AG70" s="31" t="s">
        <v>101</v>
      </c>
      <c r="AH70" s="31" t="s">
        <v>67</v>
      </c>
      <c r="AI70" s="31"/>
      <c r="AJ70" s="31" t="s">
        <v>605</v>
      </c>
      <c r="AK70" s="31" t="s">
        <v>596</v>
      </c>
      <c r="AL70" s="31"/>
      <c r="AM70" s="31"/>
      <c r="AN70" s="31"/>
      <c r="AO70" s="31"/>
      <c r="AP70" s="31"/>
      <c r="AQ70" s="31"/>
      <c r="AR70" s="31" t="s">
        <v>243</v>
      </c>
      <c r="AS70" s="30"/>
      <c r="AT70" s="37"/>
      <c r="AU70" s="37"/>
      <c r="AV70" s="37"/>
      <c r="AW70" s="37"/>
      <c r="AX70" s="37"/>
      <c r="AY70" s="34">
        <v>47</v>
      </c>
      <c r="AZ70" s="38"/>
      <c r="BA70" s="38"/>
      <c r="BB70" s="1"/>
      <c r="BC70" s="37"/>
      <c r="BD70" s="37">
        <v>36</v>
      </c>
      <c r="BE70" s="5"/>
      <c r="BF70" s="5" t="s">
        <v>842</v>
      </c>
      <c r="BG70" s="31" t="s">
        <v>849</v>
      </c>
      <c r="BH70" s="31" t="s">
        <v>849</v>
      </c>
      <c r="BI70" s="31" t="s">
        <v>849</v>
      </c>
      <c r="BJ70" s="31"/>
      <c r="BK70" s="30">
        <v>3</v>
      </c>
    </row>
    <row x14ac:dyDescent="0.25" r="71" customHeight="1" ht="31.5">
      <c r="A71" s="99" t="s">
        <v>850</v>
      </c>
      <c r="B71" s="100" t="s">
        <v>851</v>
      </c>
      <c r="C71" s="101" t="s">
        <v>852</v>
      </c>
      <c r="D71" s="101" t="s">
        <v>853</v>
      </c>
      <c r="E71" s="100"/>
      <c r="F71" s="100" t="s">
        <v>637</v>
      </c>
      <c r="G71" s="100" t="s">
        <v>589</v>
      </c>
      <c r="H71" s="101" t="s">
        <v>386</v>
      </c>
      <c r="I71" s="101"/>
      <c r="J71" s="101"/>
      <c r="K71" s="100"/>
      <c r="L71" s="100"/>
      <c r="M71" s="100" t="s">
        <v>820</v>
      </c>
      <c r="N71" s="100" t="s">
        <v>821</v>
      </c>
      <c r="O71" s="100" t="s">
        <v>854</v>
      </c>
      <c r="P71" s="101" t="s">
        <v>855</v>
      </c>
      <c r="Q71" s="102" t="s">
        <v>824</v>
      </c>
      <c r="R71" s="101" t="s">
        <v>591</v>
      </c>
      <c r="S71" s="101" t="s">
        <v>825</v>
      </c>
      <c r="T71" s="101"/>
      <c r="U71" s="101" t="s">
        <v>852</v>
      </c>
      <c r="V71" s="100"/>
      <c r="W71" s="103">
        <v>1</v>
      </c>
      <c r="X71" s="101" t="s">
        <v>826</v>
      </c>
      <c r="Y71" s="100"/>
      <c r="Z71" s="103">
        <v>1</v>
      </c>
      <c r="AA71" s="101"/>
      <c r="AB71" s="101" t="s">
        <v>856</v>
      </c>
      <c r="AC71" s="100" t="s">
        <v>76</v>
      </c>
      <c r="AD71" s="101" t="s">
        <v>259</v>
      </c>
      <c r="AE71" s="101" t="s">
        <v>828</v>
      </c>
      <c r="AF71" s="101" t="s">
        <v>857</v>
      </c>
      <c r="AG71" s="101"/>
      <c r="AH71" s="101"/>
      <c r="AI71" s="101"/>
      <c r="AJ71" s="101" t="s">
        <v>262</v>
      </c>
      <c r="AK71" s="101" t="s">
        <v>259</v>
      </c>
      <c r="AL71" s="101"/>
      <c r="AM71" s="101"/>
      <c r="AN71" s="101" t="s">
        <v>830</v>
      </c>
      <c r="AO71" s="101" t="s">
        <v>259</v>
      </c>
      <c r="AP71" s="101" t="s">
        <v>831</v>
      </c>
      <c r="AQ71" s="101"/>
      <c r="AR71" s="101" t="s">
        <v>243</v>
      </c>
      <c r="AS71" s="99"/>
      <c r="AT71" s="98"/>
      <c r="AU71" s="98"/>
      <c r="AV71" s="98"/>
      <c r="AW71" s="98"/>
      <c r="AX71" s="98"/>
      <c r="AY71" s="104"/>
      <c r="AZ71" s="103">
        <v>18</v>
      </c>
      <c r="BA71" s="104"/>
      <c r="BB71" s="102"/>
      <c r="BC71" s="98"/>
      <c r="BD71" s="98">
        <v>37</v>
      </c>
      <c r="BE71" s="100"/>
      <c r="BF71" s="100" t="s">
        <v>851</v>
      </c>
      <c r="BG71" s="101" t="s">
        <v>858</v>
      </c>
      <c r="BH71" s="101" t="s">
        <v>858</v>
      </c>
      <c r="BI71" s="101" t="s">
        <v>858</v>
      </c>
      <c r="BJ71" s="101"/>
      <c r="BK71" s="99">
        <v>3</v>
      </c>
    </row>
    <row x14ac:dyDescent="0.25" r="72" customHeight="1" ht="46.5">
      <c r="A72" s="105" t="s">
        <v>859</v>
      </c>
      <c r="B72" s="106" t="s">
        <v>860</v>
      </c>
      <c r="C72" s="107" t="s">
        <v>861</v>
      </c>
      <c r="D72" s="107" t="s">
        <v>862</v>
      </c>
      <c r="E72" s="106"/>
      <c r="F72" s="106" t="s">
        <v>226</v>
      </c>
      <c r="G72" s="106" t="s">
        <v>589</v>
      </c>
      <c r="H72" s="107" t="s">
        <v>386</v>
      </c>
      <c r="I72" s="107"/>
      <c r="J72" s="107"/>
      <c r="K72" s="106"/>
      <c r="L72" s="106"/>
      <c r="M72" s="106" t="s">
        <v>231</v>
      </c>
      <c r="N72" s="106" t="s">
        <v>726</v>
      </c>
      <c r="O72" s="108" t="s">
        <v>863</v>
      </c>
      <c r="P72" s="107" t="s">
        <v>864</v>
      </c>
      <c r="Q72" s="109" t="s">
        <v>728</v>
      </c>
      <c r="R72" s="107" t="s">
        <v>591</v>
      </c>
      <c r="S72" s="107" t="s">
        <v>730</v>
      </c>
      <c r="T72" s="107" t="s">
        <v>756</v>
      </c>
      <c r="U72" s="107" t="s">
        <v>865</v>
      </c>
      <c r="V72" s="106"/>
      <c r="W72" s="110">
        <v>1</v>
      </c>
      <c r="X72" s="107" t="s">
        <v>594</v>
      </c>
      <c r="Y72" s="106"/>
      <c r="Z72" s="111">
        <v>0</v>
      </c>
      <c r="AA72" s="107"/>
      <c r="AB72" s="106" t="s">
        <v>866</v>
      </c>
      <c r="AC72" s="106" t="s">
        <v>52</v>
      </c>
      <c r="AD72" s="107" t="s">
        <v>596</v>
      </c>
      <c r="AE72" s="112" t="s">
        <v>760</v>
      </c>
      <c r="AF72" s="107" t="s">
        <v>292</v>
      </c>
      <c r="AG72" s="107" t="s">
        <v>118</v>
      </c>
      <c r="AH72" s="107" t="s">
        <v>67</v>
      </c>
      <c r="AI72" s="107"/>
      <c r="AJ72" s="107" t="s">
        <v>605</v>
      </c>
      <c r="AK72" s="107" t="s">
        <v>596</v>
      </c>
      <c r="AL72" s="107"/>
      <c r="AM72" s="107"/>
      <c r="AN72" s="107"/>
      <c r="AO72" s="107"/>
      <c r="AP72" s="107"/>
      <c r="AQ72" s="107"/>
      <c r="AR72" s="107"/>
      <c r="AS72" s="105"/>
      <c r="AT72" s="113"/>
      <c r="AU72" s="113"/>
      <c r="AV72" s="113"/>
      <c r="AW72" s="113"/>
      <c r="AX72" s="113"/>
      <c r="AY72" s="110">
        <v>49</v>
      </c>
      <c r="AZ72" s="114"/>
      <c r="BA72" s="114"/>
      <c r="BB72" s="109"/>
      <c r="BC72" s="113"/>
      <c r="BD72" s="113">
        <v>38</v>
      </c>
      <c r="BE72" s="106"/>
      <c r="BF72" s="106" t="s">
        <v>860</v>
      </c>
      <c r="BG72" s="107" t="s">
        <v>867</v>
      </c>
      <c r="BH72" s="107" t="s">
        <v>867</v>
      </c>
      <c r="BI72" s="107" t="s">
        <v>867</v>
      </c>
      <c r="BJ72" s="107"/>
      <c r="BK72" s="105">
        <v>3</v>
      </c>
    </row>
    <row x14ac:dyDescent="0.25" r="73" customHeight="1" ht="31.5">
      <c r="A73" s="99" t="s">
        <v>868</v>
      </c>
      <c r="B73" s="100" t="s">
        <v>869</v>
      </c>
      <c r="C73" s="101" t="s">
        <v>870</v>
      </c>
      <c r="D73" s="101" t="s">
        <v>871</v>
      </c>
      <c r="E73" s="100"/>
      <c r="F73" s="100" t="s">
        <v>577</v>
      </c>
      <c r="G73" s="100" t="s">
        <v>589</v>
      </c>
      <c r="H73" s="101" t="s">
        <v>386</v>
      </c>
      <c r="I73" s="101"/>
      <c r="J73" s="101"/>
      <c r="K73" s="100"/>
      <c r="L73" s="100"/>
      <c r="M73" s="100" t="s">
        <v>231</v>
      </c>
      <c r="N73" s="100" t="s">
        <v>726</v>
      </c>
      <c r="O73" s="115" t="s">
        <v>872</v>
      </c>
      <c r="P73" s="101" t="s">
        <v>873</v>
      </c>
      <c r="Q73" s="102" t="s">
        <v>728</v>
      </c>
      <c r="R73" s="101" t="s">
        <v>591</v>
      </c>
      <c r="S73" s="101" t="s">
        <v>730</v>
      </c>
      <c r="T73" s="101" t="s">
        <v>756</v>
      </c>
      <c r="U73" s="101" t="s">
        <v>874</v>
      </c>
      <c r="V73" s="100"/>
      <c r="W73" s="103">
        <v>1</v>
      </c>
      <c r="X73" s="101" t="s">
        <v>594</v>
      </c>
      <c r="Y73" s="100"/>
      <c r="Z73" s="116">
        <v>0</v>
      </c>
      <c r="AA73" s="101"/>
      <c r="AB73" s="101" t="s">
        <v>875</v>
      </c>
      <c r="AC73" s="100" t="s">
        <v>38</v>
      </c>
      <c r="AD73" s="101" t="s">
        <v>596</v>
      </c>
      <c r="AE73" s="117" t="s">
        <v>760</v>
      </c>
      <c r="AF73" s="101" t="s">
        <v>292</v>
      </c>
      <c r="AG73" s="101" t="s">
        <v>110</v>
      </c>
      <c r="AH73" s="101" t="s">
        <v>27</v>
      </c>
      <c r="AI73" s="101"/>
      <c r="AJ73" s="101" t="s">
        <v>605</v>
      </c>
      <c r="AK73" s="101" t="s">
        <v>596</v>
      </c>
      <c r="AL73" s="101"/>
      <c r="AM73" s="101"/>
      <c r="AN73" s="101"/>
      <c r="AO73" s="101"/>
      <c r="AP73" s="101"/>
      <c r="AQ73" s="101"/>
      <c r="AR73" s="101" t="s">
        <v>243</v>
      </c>
      <c r="AS73" s="99"/>
      <c r="AT73" s="98"/>
      <c r="AU73" s="98"/>
      <c r="AV73" s="98"/>
      <c r="AW73" s="98"/>
      <c r="AX73" s="98"/>
      <c r="AY73" s="103">
        <v>48</v>
      </c>
      <c r="AZ73" s="104"/>
      <c r="BA73" s="104"/>
      <c r="BB73" s="102"/>
      <c r="BC73" s="98"/>
      <c r="BD73" s="98">
        <v>39</v>
      </c>
      <c r="BE73" s="100"/>
      <c r="BF73" s="100" t="s">
        <v>869</v>
      </c>
      <c r="BG73" s="101" t="s">
        <v>876</v>
      </c>
      <c r="BH73" s="101" t="s">
        <v>876</v>
      </c>
      <c r="BI73" s="101" t="s">
        <v>876</v>
      </c>
      <c r="BJ73" s="101"/>
      <c r="BK73" s="99">
        <v>3</v>
      </c>
    </row>
    <row x14ac:dyDescent="0.25" r="74" customHeight="1" ht="57">
      <c r="A74" s="118">
        <v>10057</v>
      </c>
      <c r="B74" s="119" t="s">
        <v>877</v>
      </c>
      <c r="C74" s="119" t="s">
        <v>878</v>
      </c>
      <c r="D74" s="119"/>
      <c r="E74" s="119"/>
      <c r="F74" s="119"/>
      <c r="G74" s="119"/>
      <c r="H74" s="119"/>
      <c r="I74" s="119"/>
      <c r="J74" s="119"/>
      <c r="K74" s="119"/>
      <c r="L74" s="119"/>
      <c r="M74" s="119"/>
      <c r="N74" s="119"/>
      <c r="O74" s="119"/>
      <c r="P74" s="119"/>
      <c r="Q74" s="119"/>
      <c r="R74" s="119"/>
      <c r="S74" s="119"/>
      <c r="T74" s="119"/>
      <c r="U74" s="119"/>
      <c r="V74" s="119"/>
      <c r="W74" s="120"/>
      <c r="X74" s="119"/>
      <c r="Y74" s="119"/>
      <c r="Z74" s="120"/>
      <c r="AA74" s="119"/>
      <c r="AB74" s="119"/>
      <c r="AC74" s="119"/>
      <c r="AD74" s="119"/>
      <c r="AE74" s="119"/>
      <c r="AF74" s="119"/>
      <c r="AG74" s="119"/>
      <c r="AH74" s="119"/>
      <c r="AI74" s="119"/>
      <c r="AJ74" s="119"/>
      <c r="AK74" s="119"/>
      <c r="AL74" s="119"/>
      <c r="AM74" s="119"/>
      <c r="AN74" s="119"/>
      <c r="AO74" s="119"/>
      <c r="AP74" s="119"/>
      <c r="AQ74" s="119"/>
      <c r="AR74" s="119"/>
      <c r="AS74" s="120"/>
      <c r="AT74" s="120"/>
      <c r="AU74" s="120"/>
      <c r="AV74" s="120"/>
      <c r="AW74" s="120"/>
      <c r="AX74" s="120"/>
      <c r="AY74" s="120"/>
      <c r="AZ74" s="120"/>
      <c r="BA74" s="120"/>
      <c r="BB74" s="119"/>
      <c r="BC74" s="120"/>
      <c r="BD74" s="120"/>
      <c r="BE74" s="119"/>
      <c r="BF74" s="119"/>
      <c r="BG74" s="119"/>
      <c r="BH74" s="119"/>
      <c r="BI74" s="119"/>
      <c r="BJ74" s="119"/>
      <c r="BK74" s="121"/>
    </row>
    <row x14ac:dyDescent="0.25" r="75" customHeight="1" ht="31.5">
      <c r="A75" s="118">
        <v>10058</v>
      </c>
      <c r="B75" s="119" t="s">
        <v>878</v>
      </c>
      <c r="C75" s="119" t="s">
        <v>878</v>
      </c>
      <c r="D75" s="119"/>
      <c r="E75" s="119"/>
      <c r="F75" s="119"/>
      <c r="G75" s="119"/>
      <c r="H75" s="119"/>
      <c r="I75" s="119"/>
      <c r="J75" s="119"/>
      <c r="K75" s="119"/>
      <c r="L75" s="119"/>
      <c r="M75" s="119"/>
      <c r="N75" s="119"/>
      <c r="O75" s="119"/>
      <c r="P75" s="119"/>
      <c r="Q75" s="119"/>
      <c r="R75" s="119"/>
      <c r="S75" s="119"/>
      <c r="T75" s="119"/>
      <c r="U75" s="119"/>
      <c r="V75" s="119"/>
      <c r="W75" s="120"/>
      <c r="X75" s="119"/>
      <c r="Y75" s="119"/>
      <c r="Z75" s="120"/>
      <c r="AA75" s="119"/>
      <c r="AB75" s="119"/>
      <c r="AC75" s="119"/>
      <c r="AD75" s="119"/>
      <c r="AE75" s="119"/>
      <c r="AF75" s="119"/>
      <c r="AG75" s="119"/>
      <c r="AH75" s="119"/>
      <c r="AI75" s="119"/>
      <c r="AJ75" s="119"/>
      <c r="AK75" s="119"/>
      <c r="AL75" s="119"/>
      <c r="AM75" s="119"/>
      <c r="AN75" s="119"/>
      <c r="AO75" s="119"/>
      <c r="AP75" s="119"/>
      <c r="AQ75" s="119"/>
      <c r="AR75" s="119"/>
      <c r="AS75" s="120"/>
      <c r="AT75" s="120"/>
      <c r="AU75" s="120"/>
      <c r="AV75" s="120"/>
      <c r="AW75" s="120"/>
      <c r="AX75" s="120"/>
      <c r="AY75" s="120"/>
      <c r="AZ75" s="120"/>
      <c r="BA75" s="120"/>
      <c r="BB75" s="119"/>
      <c r="BC75" s="120"/>
      <c r="BD75" s="120"/>
      <c r="BE75" s="119"/>
      <c r="BF75" s="119"/>
      <c r="BG75" s="119"/>
      <c r="BH75" s="119"/>
      <c r="BI75" s="119"/>
      <c r="BJ75" s="119"/>
      <c r="BK75" s="121"/>
    </row>
    <row x14ac:dyDescent="0.25" r="76" customHeight="1" ht="45">
      <c r="A76" s="122">
        <v>10063</v>
      </c>
      <c r="B76" s="84" t="s">
        <v>879</v>
      </c>
      <c r="C76" s="83" t="s">
        <v>880</v>
      </c>
      <c r="D76" s="83" t="s">
        <v>881</v>
      </c>
      <c r="E76" s="84"/>
      <c r="F76" s="84" t="s">
        <v>226</v>
      </c>
      <c r="G76" s="84" t="s">
        <v>589</v>
      </c>
      <c r="H76" s="83" t="s">
        <v>386</v>
      </c>
      <c r="I76" s="83"/>
      <c r="J76" s="83"/>
      <c r="K76" s="84"/>
      <c r="L76" s="84"/>
      <c r="M76" s="84" t="s">
        <v>231</v>
      </c>
      <c r="N76" s="84" t="s">
        <v>726</v>
      </c>
      <c r="O76" s="123" t="s">
        <v>882</v>
      </c>
      <c r="P76" s="83" t="s">
        <v>883</v>
      </c>
      <c r="Q76" s="124" t="s">
        <v>728</v>
      </c>
      <c r="R76" s="83" t="s">
        <v>755</v>
      </c>
      <c r="S76" s="83" t="s">
        <v>730</v>
      </c>
      <c r="T76" s="83" t="s">
        <v>756</v>
      </c>
      <c r="U76" s="83" t="s">
        <v>884</v>
      </c>
      <c r="V76" s="84"/>
      <c r="W76" s="82">
        <v>1</v>
      </c>
      <c r="X76" s="83" t="s">
        <v>594</v>
      </c>
      <c r="Y76" s="84" t="s">
        <v>885</v>
      </c>
      <c r="Z76" s="125">
        <v>0</v>
      </c>
      <c r="AA76" s="83"/>
      <c r="AB76" s="83" t="s">
        <v>886</v>
      </c>
      <c r="AC76" s="84" t="s">
        <v>52</v>
      </c>
      <c r="AD76" s="83" t="s">
        <v>596</v>
      </c>
      <c r="AE76" s="83" t="s">
        <v>760</v>
      </c>
      <c r="AF76" s="83" t="s">
        <v>292</v>
      </c>
      <c r="AG76" s="83" t="s">
        <v>130</v>
      </c>
      <c r="AH76" s="41" t="s">
        <v>67</v>
      </c>
      <c r="AI76" s="83"/>
      <c r="AJ76" s="41" t="s">
        <v>605</v>
      </c>
      <c r="AK76" s="41" t="s">
        <v>596</v>
      </c>
      <c r="AL76" s="83"/>
      <c r="AM76" s="83"/>
      <c r="AN76" s="83"/>
      <c r="AO76" s="83"/>
      <c r="AP76" s="83"/>
      <c r="AQ76" s="83"/>
      <c r="AR76" s="83" t="s">
        <v>243</v>
      </c>
      <c r="AS76" s="122"/>
      <c r="AT76" s="126"/>
      <c r="AU76" s="126"/>
      <c r="AV76" s="126"/>
      <c r="AW76" s="126"/>
      <c r="AX76" s="126"/>
      <c r="AY76" s="82">
        <v>52</v>
      </c>
      <c r="AZ76" s="127"/>
      <c r="BA76" s="127"/>
      <c r="BB76" s="124"/>
      <c r="BC76" s="126"/>
      <c r="BD76" s="128">
        <v>42</v>
      </c>
      <c r="BE76" s="84"/>
      <c r="BF76" s="84" t="s">
        <v>879</v>
      </c>
      <c r="BG76" s="83" t="s">
        <v>887</v>
      </c>
      <c r="BH76" s="83" t="s">
        <v>887</v>
      </c>
      <c r="BI76" s="83" t="s">
        <v>887</v>
      </c>
      <c r="BJ76" s="41"/>
      <c r="BK76" s="129">
        <v>3</v>
      </c>
    </row>
    <row x14ac:dyDescent="0.25" r="77" customHeight="1" ht="31.5">
      <c r="A77" s="30" t="s">
        <v>888</v>
      </c>
      <c r="B77" s="5" t="s">
        <v>889</v>
      </c>
      <c r="C77" s="31" t="s">
        <v>183</v>
      </c>
      <c r="D77" s="31" t="s">
        <v>890</v>
      </c>
      <c r="E77" s="5"/>
      <c r="F77" s="5" t="s">
        <v>703</v>
      </c>
      <c r="G77" s="5" t="s">
        <v>589</v>
      </c>
      <c r="H77" s="31" t="s">
        <v>386</v>
      </c>
      <c r="I77" s="31"/>
      <c r="J77" s="31"/>
      <c r="K77" s="5"/>
      <c r="L77" s="5"/>
      <c r="M77" s="5" t="s">
        <v>231</v>
      </c>
      <c r="N77" s="5" t="s">
        <v>590</v>
      </c>
      <c r="O77" s="33"/>
      <c r="P77" s="31"/>
      <c r="Q77" s="1" t="s">
        <v>251</v>
      </c>
      <c r="R77" s="31" t="s">
        <v>591</v>
      </c>
      <c r="S77" s="31" t="s">
        <v>638</v>
      </c>
      <c r="T77" s="31"/>
      <c r="U77" s="55" t="s">
        <v>891</v>
      </c>
      <c r="V77" s="5" t="s">
        <v>892</v>
      </c>
      <c r="W77" s="40">
        <v>0</v>
      </c>
      <c r="X77" s="41" t="s">
        <v>386</v>
      </c>
      <c r="Y77" s="42"/>
      <c r="Z77" s="38" t="s">
        <v>386</v>
      </c>
      <c r="AA77" s="31"/>
      <c r="AB77" s="31" t="s">
        <v>893</v>
      </c>
      <c r="AC77" s="5" t="s">
        <v>24</v>
      </c>
      <c r="AD77" s="31" t="s">
        <v>596</v>
      </c>
      <c r="AE77" s="36" t="s">
        <v>595</v>
      </c>
      <c r="AF77" s="31" t="s">
        <v>894</v>
      </c>
      <c r="AG77" s="31"/>
      <c r="AH77" s="31"/>
      <c r="AI77" s="31"/>
      <c r="AJ77" s="31"/>
      <c r="AK77" s="31"/>
      <c r="AL77" s="31"/>
      <c r="AM77" s="31"/>
      <c r="AN77" s="31"/>
      <c r="AO77" s="31"/>
      <c r="AP77" s="31"/>
      <c r="AQ77" s="31"/>
      <c r="AR77" s="31" t="s">
        <v>243</v>
      </c>
      <c r="AS77" s="30"/>
      <c r="AT77" s="37"/>
      <c r="AU77" s="37"/>
      <c r="AV77" s="37"/>
      <c r="AW77" s="37"/>
      <c r="AX77" s="37"/>
      <c r="AY77" s="34">
        <v>65</v>
      </c>
      <c r="AZ77" s="38"/>
      <c r="BA77" s="38"/>
      <c r="BB77" s="46"/>
      <c r="BC77" s="37"/>
      <c r="BD77" s="37">
        <v>43</v>
      </c>
      <c r="BE77" s="5"/>
      <c r="BF77" s="5" t="s">
        <v>895</v>
      </c>
      <c r="BG77" s="47"/>
      <c r="BH77" s="47"/>
      <c r="BI77" s="47"/>
      <c r="BJ77" s="60"/>
      <c r="BK77" s="49"/>
    </row>
    <row x14ac:dyDescent="0.25" r="78" customHeight="1" ht="31.5">
      <c r="A78" s="30" t="s">
        <v>896</v>
      </c>
      <c r="B78" s="5" t="s">
        <v>896</v>
      </c>
      <c r="C78" s="130" t="s">
        <v>897</v>
      </c>
      <c r="D78" s="131" t="s">
        <v>897</v>
      </c>
      <c r="E78" s="5"/>
      <c r="F78" s="5" t="s">
        <v>226</v>
      </c>
      <c r="G78" s="5" t="s">
        <v>898</v>
      </c>
      <c r="H78" s="31" t="s">
        <v>899</v>
      </c>
      <c r="I78" s="32" t="s">
        <v>900</v>
      </c>
      <c r="J78" s="32" t="s">
        <v>900</v>
      </c>
      <c r="K78" s="5" t="s">
        <v>386</v>
      </c>
      <c r="L78" s="5" t="s">
        <v>386</v>
      </c>
      <c r="M78" s="5" t="s">
        <v>231</v>
      </c>
      <c r="N78" s="5" t="s">
        <v>386</v>
      </c>
      <c r="O78" s="33" t="s">
        <v>386</v>
      </c>
      <c r="P78" s="5" t="s">
        <v>386</v>
      </c>
      <c r="Q78" s="1" t="s">
        <v>251</v>
      </c>
      <c r="R78" s="31" t="s">
        <v>901</v>
      </c>
      <c r="S78" s="55" t="s">
        <v>902</v>
      </c>
      <c r="T78" s="31"/>
      <c r="U78" s="130" t="s">
        <v>903</v>
      </c>
      <c r="V78" s="5"/>
      <c r="W78" s="40">
        <v>2</v>
      </c>
      <c r="X78" s="41" t="s">
        <v>594</v>
      </c>
      <c r="Y78" s="42"/>
      <c r="Z78" s="20"/>
      <c r="AA78" s="31"/>
      <c r="AB78" s="31" t="s">
        <v>904</v>
      </c>
      <c r="AC78" s="5" t="s">
        <v>52</v>
      </c>
      <c r="AD78" s="31" t="s">
        <v>596</v>
      </c>
      <c r="AE78" s="36" t="s">
        <v>905</v>
      </c>
      <c r="AF78" s="57" t="s">
        <v>904</v>
      </c>
      <c r="AG78" s="55"/>
      <c r="AH78" s="31" t="s">
        <v>67</v>
      </c>
      <c r="AI78" s="31"/>
      <c r="AJ78" s="31" t="s">
        <v>605</v>
      </c>
      <c r="AK78" s="31" t="s">
        <v>596</v>
      </c>
      <c r="AL78" s="31"/>
      <c r="AM78" s="31"/>
      <c r="AN78" s="31"/>
      <c r="AO78" s="31"/>
      <c r="AP78" s="31"/>
      <c r="AQ78" s="31"/>
      <c r="AR78" s="31"/>
      <c r="AS78" s="30"/>
      <c r="AT78" s="37"/>
      <c r="AU78" s="37"/>
      <c r="AV78" s="37"/>
      <c r="AW78" s="37"/>
      <c r="AX78" s="37"/>
      <c r="AY78" s="94" t="s">
        <v>906</v>
      </c>
      <c r="AZ78" s="38"/>
      <c r="BA78" s="38"/>
      <c r="BB78" s="46"/>
      <c r="BC78" s="37"/>
      <c r="BD78" s="37">
        <v>44</v>
      </c>
      <c r="BE78" s="5"/>
      <c r="BF78" s="5"/>
      <c r="BG78" s="52" t="s">
        <v>907</v>
      </c>
      <c r="BH78" s="52" t="s">
        <v>907</v>
      </c>
      <c r="BI78" s="52" t="s">
        <v>907</v>
      </c>
      <c r="BJ78" s="48"/>
      <c r="BK78" s="49">
        <v>3</v>
      </c>
    </row>
    <row x14ac:dyDescent="0.25" r="79" customHeight="1" ht="45.75">
      <c r="A79" s="30" t="s">
        <v>386</v>
      </c>
      <c r="B79" s="132" t="s">
        <v>908</v>
      </c>
      <c r="C79" s="133" t="s">
        <v>909</v>
      </c>
      <c r="D79" s="31" t="s">
        <v>780</v>
      </c>
      <c r="E79" s="5"/>
      <c r="F79" s="5" t="s">
        <v>910</v>
      </c>
      <c r="G79" s="5" t="s">
        <v>386</v>
      </c>
      <c r="H79" s="31" t="s">
        <v>386</v>
      </c>
      <c r="I79" s="31" t="s">
        <v>386</v>
      </c>
      <c r="J79" s="31" t="s">
        <v>386</v>
      </c>
      <c r="K79" s="62"/>
      <c r="L79" s="62"/>
      <c r="M79" s="5"/>
      <c r="N79" s="5"/>
      <c r="O79" s="33"/>
      <c r="P79" s="5"/>
      <c r="Q79" s="5"/>
      <c r="R79" s="31" t="s">
        <v>901</v>
      </c>
      <c r="S79" s="55" t="s">
        <v>902</v>
      </c>
      <c r="T79" s="31"/>
      <c r="U79" s="31" t="s">
        <v>909</v>
      </c>
      <c r="V79" s="5"/>
      <c r="W79" s="134"/>
      <c r="X79" s="41"/>
      <c r="Y79" s="42"/>
      <c r="Z79" s="20"/>
      <c r="AA79" s="31"/>
      <c r="AB79" s="55" t="s">
        <v>911</v>
      </c>
      <c r="AC79" s="5" t="s">
        <v>88</v>
      </c>
      <c r="AD79" s="31" t="s">
        <v>596</v>
      </c>
      <c r="AE79" s="36" t="s">
        <v>604</v>
      </c>
      <c r="AF79" s="31"/>
      <c r="AG79" s="31"/>
      <c r="AH79" s="31"/>
      <c r="AI79" s="31"/>
      <c r="AJ79" s="31"/>
      <c r="AK79" s="31"/>
      <c r="AL79" s="31"/>
      <c r="AM79" s="31"/>
      <c r="AN79" s="31"/>
      <c r="AO79" s="31"/>
      <c r="AP79" s="31"/>
      <c r="AQ79" s="31"/>
      <c r="AR79" s="31" t="s">
        <v>243</v>
      </c>
      <c r="AS79" s="30"/>
      <c r="AT79" s="37"/>
      <c r="AU79" s="37"/>
      <c r="AV79" s="37"/>
      <c r="AW79" s="37"/>
      <c r="AX79" s="37"/>
      <c r="AY79" s="38"/>
      <c r="AZ79" s="38"/>
      <c r="BA79" s="38"/>
      <c r="BB79" s="46"/>
      <c r="BC79" s="37"/>
      <c r="BD79" s="135">
        <v>45</v>
      </c>
      <c r="BE79" s="5"/>
      <c r="BF79" s="5"/>
      <c r="BG79" s="31" t="s">
        <v>909</v>
      </c>
      <c r="BH79" s="31" t="s">
        <v>909</v>
      </c>
      <c r="BI79" s="31"/>
      <c r="BJ79" s="48"/>
      <c r="BK79" s="49">
        <v>3</v>
      </c>
    </row>
    <row x14ac:dyDescent="0.25" r="80" customHeight="1" ht="62.25">
      <c r="A80" s="30" t="s">
        <v>386</v>
      </c>
      <c r="B80" s="1" t="s">
        <v>908</v>
      </c>
      <c r="C80" s="31" t="s">
        <v>912</v>
      </c>
      <c r="D80" s="31" t="s">
        <v>780</v>
      </c>
      <c r="E80" s="5"/>
      <c r="F80" s="5" t="s">
        <v>913</v>
      </c>
      <c r="G80" s="5" t="s">
        <v>386</v>
      </c>
      <c r="H80" s="31" t="s">
        <v>386</v>
      </c>
      <c r="I80" s="31" t="s">
        <v>386</v>
      </c>
      <c r="J80" s="31" t="s">
        <v>386</v>
      </c>
      <c r="K80" s="5"/>
      <c r="L80" s="5"/>
      <c r="M80" s="5"/>
      <c r="N80" s="5"/>
      <c r="O80" s="33"/>
      <c r="P80" s="5"/>
      <c r="Q80" s="5"/>
      <c r="R80" s="31" t="s">
        <v>901</v>
      </c>
      <c r="S80" s="31" t="s">
        <v>902</v>
      </c>
      <c r="T80" s="31"/>
      <c r="U80" s="31" t="s">
        <v>912</v>
      </c>
      <c r="V80" s="5"/>
      <c r="W80" s="38"/>
      <c r="X80" s="31"/>
      <c r="Y80" s="5"/>
      <c r="Z80" s="20"/>
      <c r="AA80" s="31"/>
      <c r="AB80" s="31" t="s">
        <v>745</v>
      </c>
      <c r="AC80" s="5" t="s">
        <v>52</v>
      </c>
      <c r="AD80" s="31" t="s">
        <v>596</v>
      </c>
      <c r="AE80" s="36"/>
      <c r="AF80" s="31"/>
      <c r="AG80" s="31"/>
      <c r="AH80" s="31"/>
      <c r="AI80" s="31"/>
      <c r="AJ80" s="31"/>
      <c r="AK80" s="31"/>
      <c r="AL80" s="31"/>
      <c r="AM80" s="31"/>
      <c r="AN80" s="31"/>
      <c r="AO80" s="31"/>
      <c r="AP80" s="31"/>
      <c r="AQ80" s="31"/>
      <c r="AR80" s="31" t="s">
        <v>243</v>
      </c>
      <c r="AS80" s="30"/>
      <c r="AT80" s="37"/>
      <c r="AU80" s="37"/>
      <c r="AV80" s="37"/>
      <c r="AW80" s="37"/>
      <c r="AX80" s="37"/>
      <c r="AY80" s="38"/>
      <c r="AZ80" s="38"/>
      <c r="BA80" s="38"/>
      <c r="BB80" s="1"/>
      <c r="BC80" s="37"/>
      <c r="BD80" s="37">
        <v>46</v>
      </c>
      <c r="BE80" s="5"/>
      <c r="BF80" s="5"/>
      <c r="BG80" s="3"/>
      <c r="BH80" s="31" t="s">
        <v>912</v>
      </c>
      <c r="BI80" s="31"/>
      <c r="BJ80" s="31"/>
      <c r="BK80" s="30">
        <v>3</v>
      </c>
    </row>
    <row x14ac:dyDescent="0.25" r="81" customHeight="1" ht="31.5">
      <c r="A81" s="129" t="s">
        <v>386</v>
      </c>
      <c r="B81" s="136" t="s">
        <v>908</v>
      </c>
      <c r="C81" s="41" t="s">
        <v>914</v>
      </c>
      <c r="D81" s="41" t="s">
        <v>780</v>
      </c>
      <c r="E81" s="42"/>
      <c r="F81" s="42" t="s">
        <v>913</v>
      </c>
      <c r="G81" s="42" t="s">
        <v>386</v>
      </c>
      <c r="H81" s="41" t="s">
        <v>386</v>
      </c>
      <c r="I81" s="41" t="s">
        <v>386</v>
      </c>
      <c r="J81" s="41" t="s">
        <v>386</v>
      </c>
      <c r="K81" s="42"/>
      <c r="L81" s="42"/>
      <c r="M81" s="42"/>
      <c r="N81" s="42"/>
      <c r="O81" s="137"/>
      <c r="P81" s="42"/>
      <c r="Q81" s="42"/>
      <c r="R81" s="41" t="s">
        <v>901</v>
      </c>
      <c r="S81" s="41" t="s">
        <v>902</v>
      </c>
      <c r="T81" s="41"/>
      <c r="U81" s="41" t="s">
        <v>914</v>
      </c>
      <c r="V81" s="42"/>
      <c r="W81" s="134"/>
      <c r="X81" s="41"/>
      <c r="Y81" s="42"/>
      <c r="Z81" s="138"/>
      <c r="AA81" s="41"/>
      <c r="AB81" s="41" t="s">
        <v>886</v>
      </c>
      <c r="AC81" s="42" t="s">
        <v>52</v>
      </c>
      <c r="AD81" s="41" t="s">
        <v>596</v>
      </c>
      <c r="AE81" s="139" t="s">
        <v>760</v>
      </c>
      <c r="AF81" s="41"/>
      <c r="AG81" s="41"/>
      <c r="AH81" s="41"/>
      <c r="AI81" s="41"/>
      <c r="AJ81" s="41"/>
      <c r="AK81" s="41"/>
      <c r="AL81" s="41"/>
      <c r="AM81" s="41"/>
      <c r="AN81" s="41"/>
      <c r="AO81" s="41"/>
      <c r="AP81" s="41"/>
      <c r="AQ81" s="41"/>
      <c r="AR81" s="41" t="s">
        <v>243</v>
      </c>
      <c r="AS81" s="129"/>
      <c r="AT81" s="128"/>
      <c r="AU81" s="128"/>
      <c r="AV81" s="128"/>
      <c r="AW81" s="128"/>
      <c r="AX81" s="128"/>
      <c r="AY81" s="134"/>
      <c r="AZ81" s="134"/>
      <c r="BA81" s="134"/>
      <c r="BB81" s="136"/>
      <c r="BC81" s="128"/>
      <c r="BD81" s="128">
        <v>47</v>
      </c>
      <c r="BE81" s="42"/>
      <c r="BF81" s="42"/>
      <c r="BG81" s="140"/>
      <c r="BH81" s="41" t="s">
        <v>914</v>
      </c>
      <c r="BI81" s="41"/>
      <c r="BJ81" s="41"/>
      <c r="BK81" s="129">
        <v>3</v>
      </c>
    </row>
    <row x14ac:dyDescent="0.25" r="82" customHeight="1" ht="31.5">
      <c r="A82" s="30" t="s">
        <v>386</v>
      </c>
      <c r="B82" s="1" t="s">
        <v>908</v>
      </c>
      <c r="C82" s="31" t="s">
        <v>915</v>
      </c>
      <c r="D82" s="31" t="s">
        <v>780</v>
      </c>
      <c r="E82" s="5"/>
      <c r="F82" s="5" t="s">
        <v>916</v>
      </c>
      <c r="G82" s="5" t="s">
        <v>386</v>
      </c>
      <c r="H82" s="31" t="s">
        <v>386</v>
      </c>
      <c r="I82" s="31" t="s">
        <v>386</v>
      </c>
      <c r="J82" s="31" t="s">
        <v>386</v>
      </c>
      <c r="K82" s="5"/>
      <c r="L82" s="5"/>
      <c r="M82" s="5"/>
      <c r="N82" s="5"/>
      <c r="O82" s="33"/>
      <c r="P82" s="5"/>
      <c r="Q82" s="5"/>
      <c r="R82" s="31" t="s">
        <v>901</v>
      </c>
      <c r="S82" s="31" t="s">
        <v>902</v>
      </c>
      <c r="T82" s="31"/>
      <c r="U82" s="31" t="s">
        <v>915</v>
      </c>
      <c r="V82" s="5"/>
      <c r="W82" s="38"/>
      <c r="X82" s="31"/>
      <c r="Y82" s="5"/>
      <c r="Z82" s="20"/>
      <c r="AA82" s="31"/>
      <c r="AB82" s="31" t="s">
        <v>768</v>
      </c>
      <c r="AC82" s="5" t="s">
        <v>52</v>
      </c>
      <c r="AD82" s="31" t="s">
        <v>596</v>
      </c>
      <c r="AE82" s="36" t="s">
        <v>760</v>
      </c>
      <c r="AF82" s="31"/>
      <c r="AG82" s="31"/>
      <c r="AH82" s="31"/>
      <c r="AI82" s="31"/>
      <c r="AJ82" s="31"/>
      <c r="AK82" s="31"/>
      <c r="AL82" s="31"/>
      <c r="AM82" s="31"/>
      <c r="AN82" s="31"/>
      <c r="AO82" s="31"/>
      <c r="AP82" s="31"/>
      <c r="AQ82" s="31"/>
      <c r="AR82" s="31" t="s">
        <v>243</v>
      </c>
      <c r="AS82" s="30"/>
      <c r="AT82" s="37"/>
      <c r="AU82" s="37"/>
      <c r="AV82" s="37"/>
      <c r="AW82" s="37"/>
      <c r="AX82" s="37"/>
      <c r="AY82" s="38"/>
      <c r="AZ82" s="38"/>
      <c r="BA82" s="38"/>
      <c r="BB82" s="1"/>
      <c r="BC82" s="37"/>
      <c r="BD82" s="37">
        <v>48</v>
      </c>
      <c r="BE82" s="5"/>
      <c r="BF82" s="5"/>
      <c r="BG82" s="3"/>
      <c r="BH82" s="31" t="s">
        <v>915</v>
      </c>
      <c r="BI82" s="31"/>
      <c r="BJ82" s="31"/>
      <c r="BK82" s="30">
        <v>3</v>
      </c>
    </row>
    <row x14ac:dyDescent="0.25" r="83" customHeight="1" ht="31.5">
      <c r="A83" s="30" t="s">
        <v>386</v>
      </c>
      <c r="B83" s="1" t="s">
        <v>908</v>
      </c>
      <c r="C83" s="133" t="s">
        <v>917</v>
      </c>
      <c r="D83" s="31" t="s">
        <v>780</v>
      </c>
      <c r="E83" s="5"/>
      <c r="F83" s="5" t="s">
        <v>913</v>
      </c>
      <c r="G83" s="5" t="s">
        <v>386</v>
      </c>
      <c r="H83" s="31" t="s">
        <v>386</v>
      </c>
      <c r="I83" s="31" t="s">
        <v>386</v>
      </c>
      <c r="J83" s="31" t="s">
        <v>386</v>
      </c>
      <c r="K83" s="62"/>
      <c r="L83" s="62"/>
      <c r="M83" s="5"/>
      <c r="N83" s="5"/>
      <c r="O83" s="33"/>
      <c r="P83" s="5"/>
      <c r="Q83" s="5"/>
      <c r="R83" s="31" t="s">
        <v>901</v>
      </c>
      <c r="S83" s="55" t="s">
        <v>902</v>
      </c>
      <c r="T83" s="31"/>
      <c r="U83" s="31" t="s">
        <v>917</v>
      </c>
      <c r="V83" s="5"/>
      <c r="W83" s="134"/>
      <c r="X83" s="41"/>
      <c r="Y83" s="42"/>
      <c r="Z83" s="20"/>
      <c r="AA83" s="31"/>
      <c r="AB83" s="55" t="s">
        <v>776</v>
      </c>
      <c r="AC83" s="5" t="s">
        <v>52</v>
      </c>
      <c r="AD83" s="31" t="s">
        <v>596</v>
      </c>
      <c r="AE83" s="36" t="s">
        <v>760</v>
      </c>
      <c r="AF83" s="31"/>
      <c r="AG83" s="31"/>
      <c r="AH83" s="31"/>
      <c r="AI83" s="31"/>
      <c r="AJ83" s="31"/>
      <c r="AK83" s="31"/>
      <c r="AL83" s="31"/>
      <c r="AM83" s="31"/>
      <c r="AN83" s="31"/>
      <c r="AO83" s="31"/>
      <c r="AP83" s="31"/>
      <c r="AQ83" s="31"/>
      <c r="AR83" s="31" t="s">
        <v>243</v>
      </c>
      <c r="AS83" s="30"/>
      <c r="AT83" s="37"/>
      <c r="AU83" s="37"/>
      <c r="AV83" s="37"/>
      <c r="AW83" s="37"/>
      <c r="AX83" s="37"/>
      <c r="AY83" s="38"/>
      <c r="AZ83" s="38"/>
      <c r="BA83" s="38"/>
      <c r="BB83" s="46"/>
      <c r="BC83" s="37"/>
      <c r="BD83" s="37">
        <v>49</v>
      </c>
      <c r="BE83" s="5"/>
      <c r="BF83" s="5"/>
      <c r="BG83" s="3"/>
      <c r="BH83" s="31" t="s">
        <v>917</v>
      </c>
      <c r="BI83" s="31"/>
      <c r="BJ83" s="48"/>
      <c r="BK83" s="49">
        <v>3</v>
      </c>
    </row>
    <row x14ac:dyDescent="0.25" r="84" customHeight="1" ht="31.5">
      <c r="A84" s="30" t="s">
        <v>386</v>
      </c>
      <c r="B84" s="1" t="s">
        <v>908</v>
      </c>
      <c r="C84" s="133" t="s">
        <v>918</v>
      </c>
      <c r="D84" s="31" t="s">
        <v>780</v>
      </c>
      <c r="E84" s="5"/>
      <c r="F84" s="5" t="s">
        <v>916</v>
      </c>
      <c r="G84" s="5" t="s">
        <v>386</v>
      </c>
      <c r="H84" s="31" t="s">
        <v>386</v>
      </c>
      <c r="I84" s="31" t="s">
        <v>386</v>
      </c>
      <c r="J84" s="31" t="s">
        <v>386</v>
      </c>
      <c r="K84" s="62"/>
      <c r="L84" s="62"/>
      <c r="M84" s="5"/>
      <c r="N84" s="5"/>
      <c r="O84" s="33"/>
      <c r="P84" s="5"/>
      <c r="Q84" s="5"/>
      <c r="R84" s="31" t="s">
        <v>901</v>
      </c>
      <c r="S84" s="55" t="s">
        <v>902</v>
      </c>
      <c r="T84" s="31"/>
      <c r="U84" s="31" t="s">
        <v>918</v>
      </c>
      <c r="V84" s="5"/>
      <c r="W84" s="134"/>
      <c r="X84" s="41"/>
      <c r="Y84" s="42"/>
      <c r="Z84" s="20"/>
      <c r="AA84" s="31"/>
      <c r="AB84" s="55" t="s">
        <v>919</v>
      </c>
      <c r="AC84" s="5" t="s">
        <v>76</v>
      </c>
      <c r="AD84" s="31" t="s">
        <v>596</v>
      </c>
      <c r="AE84" s="36"/>
      <c r="AF84" s="31"/>
      <c r="AG84" s="31"/>
      <c r="AH84" s="31"/>
      <c r="AI84" s="31"/>
      <c r="AJ84" s="31"/>
      <c r="AK84" s="31"/>
      <c r="AL84" s="31"/>
      <c r="AM84" s="31"/>
      <c r="AN84" s="31"/>
      <c r="AO84" s="31"/>
      <c r="AP84" s="31"/>
      <c r="AQ84" s="31"/>
      <c r="AR84" s="31" t="s">
        <v>243</v>
      </c>
      <c r="AS84" s="30"/>
      <c r="AT84" s="37"/>
      <c r="AU84" s="37"/>
      <c r="AV84" s="37"/>
      <c r="AW84" s="37"/>
      <c r="AX84" s="37"/>
      <c r="AY84" s="38"/>
      <c r="AZ84" s="38"/>
      <c r="BA84" s="38"/>
      <c r="BB84" s="46"/>
      <c r="BC84" s="37"/>
      <c r="BD84" s="37">
        <v>50</v>
      </c>
      <c r="BE84" s="5"/>
      <c r="BF84" s="5"/>
      <c r="BG84" s="3"/>
      <c r="BH84" s="31" t="s">
        <v>918</v>
      </c>
      <c r="BI84" s="31"/>
      <c r="BJ84" s="48"/>
      <c r="BK84" s="49">
        <v>2</v>
      </c>
    </row>
    <row x14ac:dyDescent="0.25" r="85" customHeight="1" ht="31.5">
      <c r="A85" s="30" t="s">
        <v>386</v>
      </c>
      <c r="B85" s="1" t="s">
        <v>908</v>
      </c>
      <c r="C85" s="31" t="s">
        <v>920</v>
      </c>
      <c r="D85" s="31" t="s">
        <v>780</v>
      </c>
      <c r="E85" s="5"/>
      <c r="F85" s="5" t="s">
        <v>916</v>
      </c>
      <c r="G85" s="5" t="s">
        <v>386</v>
      </c>
      <c r="H85" s="31" t="s">
        <v>386</v>
      </c>
      <c r="I85" s="31" t="s">
        <v>386</v>
      </c>
      <c r="J85" s="31" t="s">
        <v>386</v>
      </c>
      <c r="K85" s="5"/>
      <c r="L85" s="5"/>
      <c r="M85" s="5"/>
      <c r="N85" s="5"/>
      <c r="O85" s="33"/>
      <c r="P85" s="5"/>
      <c r="Q85" s="5"/>
      <c r="R85" s="31" t="s">
        <v>901</v>
      </c>
      <c r="S85" s="31" t="s">
        <v>902</v>
      </c>
      <c r="T85" s="31"/>
      <c r="U85" s="31" t="s">
        <v>920</v>
      </c>
      <c r="V85" s="5"/>
      <c r="W85" s="38"/>
      <c r="X85" s="31"/>
      <c r="Y85" s="5"/>
      <c r="Z85" s="20"/>
      <c r="AA85" s="31"/>
      <c r="AB85" s="31" t="s">
        <v>793</v>
      </c>
      <c r="AC85" s="5" t="s">
        <v>38</v>
      </c>
      <c r="AD85" s="31" t="s">
        <v>596</v>
      </c>
      <c r="AE85" s="36" t="s">
        <v>760</v>
      </c>
      <c r="AF85" s="31"/>
      <c r="AG85" s="31"/>
      <c r="AH85" s="31"/>
      <c r="AI85" s="31"/>
      <c r="AJ85" s="31"/>
      <c r="AK85" s="31"/>
      <c r="AL85" s="31"/>
      <c r="AM85" s="31"/>
      <c r="AN85" s="31"/>
      <c r="AO85" s="31"/>
      <c r="AP85" s="31"/>
      <c r="AQ85" s="31"/>
      <c r="AR85" s="31" t="s">
        <v>243</v>
      </c>
      <c r="AS85" s="30"/>
      <c r="AT85" s="37"/>
      <c r="AU85" s="37"/>
      <c r="AV85" s="37"/>
      <c r="AW85" s="37"/>
      <c r="AX85" s="37"/>
      <c r="AY85" s="38"/>
      <c r="AZ85" s="38"/>
      <c r="BA85" s="38"/>
      <c r="BB85" s="1"/>
      <c r="BC85" s="37"/>
      <c r="BD85" s="37">
        <v>51</v>
      </c>
      <c r="BE85" s="5"/>
      <c r="BF85" s="5"/>
      <c r="BG85" s="3"/>
      <c r="BH85" s="31" t="s">
        <v>920</v>
      </c>
      <c r="BI85" s="31"/>
      <c r="BJ85" s="31"/>
      <c r="BK85" s="30">
        <v>3</v>
      </c>
    </row>
    <row x14ac:dyDescent="0.25" r="86" customHeight="1" ht="31.5">
      <c r="A86" s="30" t="s">
        <v>386</v>
      </c>
      <c r="B86" s="1" t="s">
        <v>908</v>
      </c>
      <c r="C86" s="31" t="s">
        <v>921</v>
      </c>
      <c r="D86" s="31" t="s">
        <v>780</v>
      </c>
      <c r="E86" s="5"/>
      <c r="F86" s="5" t="s">
        <v>913</v>
      </c>
      <c r="G86" s="5" t="s">
        <v>386</v>
      </c>
      <c r="H86" s="31" t="s">
        <v>386</v>
      </c>
      <c r="I86" s="31" t="s">
        <v>386</v>
      </c>
      <c r="J86" s="31" t="s">
        <v>386</v>
      </c>
      <c r="K86" s="5"/>
      <c r="L86" s="5"/>
      <c r="M86" s="5"/>
      <c r="N86" s="5"/>
      <c r="O86" s="33"/>
      <c r="P86" s="5"/>
      <c r="Q86" s="5"/>
      <c r="R86" s="31" t="s">
        <v>901</v>
      </c>
      <c r="S86" s="31" t="s">
        <v>902</v>
      </c>
      <c r="T86" s="31"/>
      <c r="U86" s="31" t="s">
        <v>921</v>
      </c>
      <c r="V86" s="5"/>
      <c r="W86" s="38"/>
      <c r="X86" s="31"/>
      <c r="Y86" s="5"/>
      <c r="Z86" s="20"/>
      <c r="AA86" s="31"/>
      <c r="AB86" s="31" t="s">
        <v>809</v>
      </c>
      <c r="AC86" s="5" t="s">
        <v>52</v>
      </c>
      <c r="AD86" s="31" t="s">
        <v>596</v>
      </c>
      <c r="AE86" s="36" t="s">
        <v>760</v>
      </c>
      <c r="AF86" s="31"/>
      <c r="AG86" s="31"/>
      <c r="AH86" s="31"/>
      <c r="AI86" s="31"/>
      <c r="AJ86" s="31"/>
      <c r="AK86" s="31"/>
      <c r="AL86" s="31"/>
      <c r="AM86" s="31"/>
      <c r="AN86" s="31"/>
      <c r="AO86" s="31"/>
      <c r="AP86" s="31"/>
      <c r="AQ86" s="31"/>
      <c r="AR86" s="31" t="s">
        <v>243</v>
      </c>
      <c r="AS86" s="30"/>
      <c r="AT86" s="37"/>
      <c r="AU86" s="37"/>
      <c r="AV86" s="37"/>
      <c r="AW86" s="37"/>
      <c r="AX86" s="37"/>
      <c r="AY86" s="38"/>
      <c r="AZ86" s="38"/>
      <c r="BA86" s="38"/>
      <c r="BB86" s="1"/>
      <c r="BC86" s="37"/>
      <c r="BD86" s="37">
        <v>52</v>
      </c>
      <c r="BE86" s="5"/>
      <c r="BF86" s="5"/>
      <c r="BG86" s="3"/>
      <c r="BH86" s="31" t="s">
        <v>921</v>
      </c>
      <c r="BI86" s="31"/>
      <c r="BJ86" s="31"/>
      <c r="BK86" s="30">
        <v>3</v>
      </c>
    </row>
    <row x14ac:dyDescent="0.25" r="87" customHeight="1" ht="31.5">
      <c r="A87" s="30" t="s">
        <v>386</v>
      </c>
      <c r="B87" s="1" t="s">
        <v>908</v>
      </c>
      <c r="C87" s="133" t="s">
        <v>922</v>
      </c>
      <c r="D87" s="31" t="s">
        <v>780</v>
      </c>
      <c r="E87" s="5"/>
      <c r="F87" s="5" t="s">
        <v>916</v>
      </c>
      <c r="G87" s="5" t="s">
        <v>386</v>
      </c>
      <c r="H87" s="31" t="s">
        <v>386</v>
      </c>
      <c r="I87" s="31" t="s">
        <v>386</v>
      </c>
      <c r="J87" s="31" t="s">
        <v>386</v>
      </c>
      <c r="K87" s="62"/>
      <c r="L87" s="62"/>
      <c r="M87" s="5"/>
      <c r="N87" s="5"/>
      <c r="O87" s="33"/>
      <c r="P87" s="5"/>
      <c r="Q87" s="5"/>
      <c r="R87" s="31" t="s">
        <v>901</v>
      </c>
      <c r="S87" s="55" t="s">
        <v>902</v>
      </c>
      <c r="T87" s="31"/>
      <c r="U87" s="31" t="s">
        <v>922</v>
      </c>
      <c r="V87" s="5"/>
      <c r="W87" s="134"/>
      <c r="X87" s="41"/>
      <c r="Y87" s="42"/>
      <c r="Z87" s="20"/>
      <c r="AA87" s="31"/>
      <c r="AB87" s="55" t="s">
        <v>923</v>
      </c>
      <c r="AC87" s="5"/>
      <c r="AD87" s="31" t="s">
        <v>596</v>
      </c>
      <c r="AE87" s="36"/>
      <c r="AF87" s="31"/>
      <c r="AG87" s="31"/>
      <c r="AH87" s="31"/>
      <c r="AI87" s="31"/>
      <c r="AJ87" s="31"/>
      <c r="AK87" s="31"/>
      <c r="AL87" s="31"/>
      <c r="AM87" s="31"/>
      <c r="AN87" s="31"/>
      <c r="AO87" s="31"/>
      <c r="AP87" s="31"/>
      <c r="AQ87" s="31"/>
      <c r="AR87" s="31" t="s">
        <v>243</v>
      </c>
      <c r="AS87" s="30"/>
      <c r="AT87" s="37"/>
      <c r="AU87" s="37"/>
      <c r="AV87" s="37"/>
      <c r="AW87" s="37"/>
      <c r="AX87" s="37"/>
      <c r="AY87" s="38"/>
      <c r="AZ87" s="38"/>
      <c r="BA87" s="38"/>
      <c r="BB87" s="46"/>
      <c r="BC87" s="37"/>
      <c r="BD87" s="37">
        <v>53</v>
      </c>
      <c r="BE87" s="5"/>
      <c r="BF87" s="5"/>
      <c r="BG87" s="3"/>
      <c r="BH87" s="31" t="s">
        <v>922</v>
      </c>
      <c r="BI87" s="31"/>
      <c r="BJ87" s="48"/>
      <c r="BK87" s="49"/>
    </row>
    <row x14ac:dyDescent="0.25" r="88" customHeight="1" ht="31.5">
      <c r="A88" s="30" t="s">
        <v>386</v>
      </c>
      <c r="B88" s="1" t="s">
        <v>908</v>
      </c>
      <c r="C88" s="133" t="s">
        <v>924</v>
      </c>
      <c r="D88" s="31" t="s">
        <v>780</v>
      </c>
      <c r="E88" s="5"/>
      <c r="F88" s="5" t="s">
        <v>925</v>
      </c>
      <c r="G88" s="5" t="s">
        <v>386</v>
      </c>
      <c r="H88" s="31" t="s">
        <v>386</v>
      </c>
      <c r="I88" s="31" t="s">
        <v>386</v>
      </c>
      <c r="J88" s="31" t="s">
        <v>386</v>
      </c>
      <c r="K88" s="62"/>
      <c r="L88" s="62"/>
      <c r="M88" s="5"/>
      <c r="N88" s="5"/>
      <c r="O88" s="33"/>
      <c r="P88" s="5"/>
      <c r="Q88" s="5"/>
      <c r="R88" s="31" t="s">
        <v>901</v>
      </c>
      <c r="S88" s="55" t="s">
        <v>902</v>
      </c>
      <c r="T88" s="31"/>
      <c r="U88" s="31" t="s">
        <v>924</v>
      </c>
      <c r="V88" s="5"/>
      <c r="W88" s="134"/>
      <c r="X88" s="41"/>
      <c r="Y88" s="42"/>
      <c r="Z88" s="20"/>
      <c r="AA88" s="31"/>
      <c r="AB88" s="55" t="s">
        <v>926</v>
      </c>
      <c r="AC88" s="5"/>
      <c r="AD88" s="31" t="s">
        <v>596</v>
      </c>
      <c r="AE88" s="36"/>
      <c r="AF88" s="31"/>
      <c r="AG88" s="31"/>
      <c r="AH88" s="31"/>
      <c r="AI88" s="31"/>
      <c r="AJ88" s="31"/>
      <c r="AK88" s="31"/>
      <c r="AL88" s="31"/>
      <c r="AM88" s="31"/>
      <c r="AN88" s="31"/>
      <c r="AO88" s="31"/>
      <c r="AP88" s="31"/>
      <c r="AQ88" s="31"/>
      <c r="AR88" s="31" t="s">
        <v>243</v>
      </c>
      <c r="AS88" s="30"/>
      <c r="AT88" s="37"/>
      <c r="AU88" s="37"/>
      <c r="AV88" s="37"/>
      <c r="AW88" s="37"/>
      <c r="AX88" s="37"/>
      <c r="AY88" s="38"/>
      <c r="AZ88" s="38"/>
      <c r="BA88" s="38"/>
      <c r="BB88" s="46"/>
      <c r="BC88" s="37"/>
      <c r="BD88" s="37">
        <v>54</v>
      </c>
      <c r="BE88" s="5"/>
      <c r="BF88" s="5"/>
      <c r="BG88" s="3"/>
      <c r="BH88" s="31" t="s">
        <v>924</v>
      </c>
      <c r="BI88" s="31"/>
      <c r="BJ88" s="48"/>
      <c r="BK88" s="49"/>
    </row>
    <row x14ac:dyDescent="0.25" r="89" customHeight="1" ht="31.5">
      <c r="A89" s="30" t="s">
        <v>386</v>
      </c>
      <c r="B89" s="1" t="s">
        <v>908</v>
      </c>
      <c r="C89" s="31" t="s">
        <v>927</v>
      </c>
      <c r="D89" s="31" t="s">
        <v>780</v>
      </c>
      <c r="E89" s="5"/>
      <c r="F89" s="5" t="s">
        <v>916</v>
      </c>
      <c r="G89" s="5" t="s">
        <v>386</v>
      </c>
      <c r="H89" s="31" t="s">
        <v>386</v>
      </c>
      <c r="I89" s="31" t="s">
        <v>386</v>
      </c>
      <c r="J89" s="31" t="s">
        <v>386</v>
      </c>
      <c r="K89" s="5"/>
      <c r="L89" s="5"/>
      <c r="M89" s="5"/>
      <c r="N89" s="5"/>
      <c r="O89" s="33"/>
      <c r="P89" s="5"/>
      <c r="Q89" s="5"/>
      <c r="R89" s="31" t="s">
        <v>901</v>
      </c>
      <c r="S89" s="31" t="s">
        <v>902</v>
      </c>
      <c r="T89" s="31"/>
      <c r="U89" s="31" t="s">
        <v>927</v>
      </c>
      <c r="V89" s="5"/>
      <c r="W89" s="38"/>
      <c r="X89" s="31"/>
      <c r="Y89" s="5"/>
      <c r="Z89" s="20"/>
      <c r="AA89" s="31"/>
      <c r="AB89" s="31" t="s">
        <v>839</v>
      </c>
      <c r="AC89" s="5" t="s">
        <v>38</v>
      </c>
      <c r="AD89" s="31" t="s">
        <v>596</v>
      </c>
      <c r="AE89" s="36" t="s">
        <v>760</v>
      </c>
      <c r="AF89" s="31"/>
      <c r="AG89" s="31"/>
      <c r="AH89" s="31"/>
      <c r="AI89" s="31"/>
      <c r="AJ89" s="31"/>
      <c r="AK89" s="31"/>
      <c r="AL89" s="31"/>
      <c r="AM89" s="31"/>
      <c r="AN89" s="31"/>
      <c r="AO89" s="31"/>
      <c r="AP89" s="31"/>
      <c r="AQ89" s="31"/>
      <c r="AR89" s="31" t="s">
        <v>243</v>
      </c>
      <c r="AS89" s="30"/>
      <c r="AT89" s="37"/>
      <c r="AU89" s="37"/>
      <c r="AV89" s="37"/>
      <c r="AW89" s="37"/>
      <c r="AX89" s="37"/>
      <c r="AY89" s="38"/>
      <c r="AZ89" s="38"/>
      <c r="BA89" s="38"/>
      <c r="BB89" s="1"/>
      <c r="BC89" s="37"/>
      <c r="BD89" s="37">
        <v>55</v>
      </c>
      <c r="BE89" s="5"/>
      <c r="BF89" s="5"/>
      <c r="BG89" s="3"/>
      <c r="BH89" s="31" t="s">
        <v>927</v>
      </c>
      <c r="BI89" s="31"/>
      <c r="BJ89" s="31"/>
      <c r="BK89" s="30">
        <v>3</v>
      </c>
    </row>
    <row x14ac:dyDescent="0.25" r="90" customHeight="1" ht="31.5">
      <c r="A90" s="99" t="s">
        <v>386</v>
      </c>
      <c r="B90" s="102" t="s">
        <v>908</v>
      </c>
      <c r="C90" s="101" t="s">
        <v>928</v>
      </c>
      <c r="D90" s="101" t="s">
        <v>780</v>
      </c>
      <c r="E90" s="100"/>
      <c r="F90" s="100" t="s">
        <v>913</v>
      </c>
      <c r="G90" s="100" t="s">
        <v>386</v>
      </c>
      <c r="H90" s="101" t="s">
        <v>386</v>
      </c>
      <c r="I90" s="101" t="s">
        <v>386</v>
      </c>
      <c r="J90" s="101" t="s">
        <v>386</v>
      </c>
      <c r="K90" s="100"/>
      <c r="L90" s="100"/>
      <c r="M90" s="100"/>
      <c r="N90" s="100"/>
      <c r="O90" s="115"/>
      <c r="P90" s="100"/>
      <c r="Q90" s="100"/>
      <c r="R90" s="101" t="s">
        <v>901</v>
      </c>
      <c r="S90" s="101" t="s">
        <v>902</v>
      </c>
      <c r="T90" s="101"/>
      <c r="U90" s="101" t="s">
        <v>928</v>
      </c>
      <c r="V90" s="100"/>
      <c r="W90" s="104"/>
      <c r="X90" s="101"/>
      <c r="Y90" s="100"/>
      <c r="Z90" s="141"/>
      <c r="AA90" s="101"/>
      <c r="AB90" s="101" t="s">
        <v>848</v>
      </c>
      <c r="AC90" s="100" t="s">
        <v>52</v>
      </c>
      <c r="AD90" s="101" t="s">
        <v>596</v>
      </c>
      <c r="AE90" s="117" t="s">
        <v>760</v>
      </c>
      <c r="AF90" s="101"/>
      <c r="AG90" s="101"/>
      <c r="AH90" s="101"/>
      <c r="AI90" s="101"/>
      <c r="AJ90" s="101"/>
      <c r="AK90" s="101"/>
      <c r="AL90" s="101"/>
      <c r="AM90" s="101"/>
      <c r="AN90" s="101"/>
      <c r="AO90" s="101"/>
      <c r="AP90" s="101"/>
      <c r="AQ90" s="101"/>
      <c r="AR90" s="101" t="s">
        <v>243</v>
      </c>
      <c r="AS90" s="99"/>
      <c r="AT90" s="98"/>
      <c r="AU90" s="98"/>
      <c r="AV90" s="98"/>
      <c r="AW90" s="98"/>
      <c r="AX90" s="98"/>
      <c r="AY90" s="104"/>
      <c r="AZ90" s="104"/>
      <c r="BA90" s="104"/>
      <c r="BB90" s="102"/>
      <c r="BC90" s="98"/>
      <c r="BD90" s="98">
        <v>56</v>
      </c>
      <c r="BE90" s="100"/>
      <c r="BF90" s="100"/>
      <c r="BG90" s="142"/>
      <c r="BH90" s="101" t="s">
        <v>928</v>
      </c>
      <c r="BI90" s="101"/>
      <c r="BJ90" s="101"/>
      <c r="BK90" s="99">
        <v>3</v>
      </c>
    </row>
    <row x14ac:dyDescent="0.25" r="91" customHeight="1" ht="50.25">
      <c r="A91" s="99" t="s">
        <v>386</v>
      </c>
      <c r="B91" s="102" t="s">
        <v>908</v>
      </c>
      <c r="C91" s="101" t="s">
        <v>929</v>
      </c>
      <c r="D91" s="101" t="s">
        <v>780</v>
      </c>
      <c r="E91" s="100"/>
      <c r="F91" s="100" t="s">
        <v>916</v>
      </c>
      <c r="G91" s="100" t="s">
        <v>386</v>
      </c>
      <c r="H91" s="101" t="s">
        <v>386</v>
      </c>
      <c r="I91" s="101" t="s">
        <v>386</v>
      </c>
      <c r="J91" s="101" t="s">
        <v>386</v>
      </c>
      <c r="K91" s="100"/>
      <c r="L91" s="100"/>
      <c r="M91" s="100"/>
      <c r="N91" s="100"/>
      <c r="O91" s="115"/>
      <c r="P91" s="100"/>
      <c r="Q91" s="100"/>
      <c r="R91" s="101" t="s">
        <v>901</v>
      </c>
      <c r="S91" s="101" t="s">
        <v>902</v>
      </c>
      <c r="T91" s="101"/>
      <c r="U91" s="101" t="s">
        <v>929</v>
      </c>
      <c r="V91" s="100"/>
      <c r="W91" s="104"/>
      <c r="X91" s="101"/>
      <c r="Y91" s="100"/>
      <c r="Z91" s="141"/>
      <c r="AA91" s="101"/>
      <c r="AB91" s="101" t="s">
        <v>930</v>
      </c>
      <c r="AC91" s="100"/>
      <c r="AD91" s="101" t="s">
        <v>596</v>
      </c>
      <c r="AE91" s="117"/>
      <c r="AF91" s="101"/>
      <c r="AG91" s="101"/>
      <c r="AH91" s="101"/>
      <c r="AI91" s="101"/>
      <c r="AJ91" s="101"/>
      <c r="AK91" s="101"/>
      <c r="AL91" s="101"/>
      <c r="AM91" s="101"/>
      <c r="AN91" s="101"/>
      <c r="AO91" s="101"/>
      <c r="AP91" s="101"/>
      <c r="AQ91" s="101"/>
      <c r="AR91" s="101" t="s">
        <v>243</v>
      </c>
      <c r="AS91" s="99"/>
      <c r="AT91" s="98"/>
      <c r="AU91" s="98"/>
      <c r="AV91" s="98"/>
      <c r="AW91" s="98"/>
      <c r="AX91" s="98"/>
      <c r="AY91" s="104"/>
      <c r="AZ91" s="104"/>
      <c r="BA91" s="104"/>
      <c r="BB91" s="102"/>
      <c r="BC91" s="98"/>
      <c r="BD91" s="98">
        <v>57</v>
      </c>
      <c r="BE91" s="100"/>
      <c r="BF91" s="100"/>
      <c r="BG91" s="142"/>
      <c r="BH91" s="101" t="s">
        <v>929</v>
      </c>
      <c r="BI91" s="101"/>
      <c r="BJ91" s="101"/>
      <c r="BK91" s="99"/>
    </row>
    <row x14ac:dyDescent="0.25" r="92" customHeight="1" ht="50.25">
      <c r="A92" s="99" t="s">
        <v>386</v>
      </c>
      <c r="B92" s="102" t="s">
        <v>908</v>
      </c>
      <c r="C92" s="101" t="s">
        <v>931</v>
      </c>
      <c r="D92" s="101" t="s">
        <v>780</v>
      </c>
      <c r="E92" s="100"/>
      <c r="F92" s="100" t="s">
        <v>925</v>
      </c>
      <c r="G92" s="100" t="s">
        <v>386</v>
      </c>
      <c r="H92" s="101" t="s">
        <v>386</v>
      </c>
      <c r="I92" s="101" t="s">
        <v>386</v>
      </c>
      <c r="J92" s="101" t="s">
        <v>386</v>
      </c>
      <c r="K92" s="100"/>
      <c r="L92" s="100"/>
      <c r="M92" s="100"/>
      <c r="N92" s="100"/>
      <c r="O92" s="115"/>
      <c r="P92" s="100"/>
      <c r="Q92" s="100"/>
      <c r="R92" s="101" t="s">
        <v>901</v>
      </c>
      <c r="S92" s="101" t="s">
        <v>902</v>
      </c>
      <c r="T92" s="101"/>
      <c r="U92" s="101" t="s">
        <v>931</v>
      </c>
      <c r="V92" s="100"/>
      <c r="W92" s="104"/>
      <c r="X92" s="101"/>
      <c r="Y92" s="100"/>
      <c r="Z92" s="141"/>
      <c r="AA92" s="101"/>
      <c r="AB92" s="101" t="s">
        <v>932</v>
      </c>
      <c r="AC92" s="100"/>
      <c r="AD92" s="101" t="s">
        <v>596</v>
      </c>
      <c r="AE92" s="117"/>
      <c r="AF92" s="101"/>
      <c r="AG92" s="101"/>
      <c r="AH92" s="101"/>
      <c r="AI92" s="101"/>
      <c r="AJ92" s="101"/>
      <c r="AK92" s="101"/>
      <c r="AL92" s="101"/>
      <c r="AM92" s="101"/>
      <c r="AN92" s="101"/>
      <c r="AO92" s="101"/>
      <c r="AP92" s="101"/>
      <c r="AQ92" s="101"/>
      <c r="AR92" s="101" t="s">
        <v>243</v>
      </c>
      <c r="AS92" s="99"/>
      <c r="AT92" s="98"/>
      <c r="AU92" s="98"/>
      <c r="AV92" s="98"/>
      <c r="AW92" s="98"/>
      <c r="AX92" s="98"/>
      <c r="AY92" s="104"/>
      <c r="AZ92" s="104"/>
      <c r="BA92" s="104"/>
      <c r="BB92" s="102"/>
      <c r="BC92" s="98"/>
      <c r="BD92" s="98">
        <v>58</v>
      </c>
      <c r="BE92" s="100"/>
      <c r="BF92" s="100"/>
      <c r="BG92" s="142"/>
      <c r="BH92" s="101" t="s">
        <v>931</v>
      </c>
      <c r="BI92" s="101"/>
      <c r="BJ92" s="101"/>
      <c r="BK92" s="99"/>
    </row>
    <row x14ac:dyDescent="0.25" r="93" customHeight="1" ht="50.25">
      <c r="A93" s="99" t="s">
        <v>386</v>
      </c>
      <c r="B93" s="102" t="s">
        <v>908</v>
      </c>
      <c r="C93" s="101" t="s">
        <v>933</v>
      </c>
      <c r="D93" s="101" t="s">
        <v>780</v>
      </c>
      <c r="E93" s="100"/>
      <c r="F93" s="100" t="s">
        <v>916</v>
      </c>
      <c r="G93" s="100" t="s">
        <v>386</v>
      </c>
      <c r="H93" s="101" t="s">
        <v>386</v>
      </c>
      <c r="I93" s="101" t="s">
        <v>386</v>
      </c>
      <c r="J93" s="101" t="s">
        <v>386</v>
      </c>
      <c r="K93" s="100"/>
      <c r="L93" s="100"/>
      <c r="M93" s="100"/>
      <c r="N93" s="100"/>
      <c r="O93" s="115"/>
      <c r="P93" s="100"/>
      <c r="Q93" s="100"/>
      <c r="R93" s="101" t="s">
        <v>901</v>
      </c>
      <c r="S93" s="101" t="s">
        <v>902</v>
      </c>
      <c r="T93" s="101"/>
      <c r="U93" s="101" t="s">
        <v>933</v>
      </c>
      <c r="V93" s="100"/>
      <c r="W93" s="104"/>
      <c r="X93" s="101"/>
      <c r="Y93" s="100"/>
      <c r="Z93" s="141"/>
      <c r="AA93" s="101"/>
      <c r="AB93" s="101" t="s">
        <v>875</v>
      </c>
      <c r="AC93" s="100" t="s">
        <v>38</v>
      </c>
      <c r="AD93" s="101" t="s">
        <v>596</v>
      </c>
      <c r="AE93" s="117" t="s">
        <v>760</v>
      </c>
      <c r="AF93" s="101"/>
      <c r="AG93" s="101"/>
      <c r="AH93" s="101"/>
      <c r="AI93" s="101"/>
      <c r="AJ93" s="101"/>
      <c r="AK93" s="101"/>
      <c r="AL93" s="101"/>
      <c r="AM93" s="101"/>
      <c r="AN93" s="101"/>
      <c r="AO93" s="101"/>
      <c r="AP93" s="101"/>
      <c r="AQ93" s="101"/>
      <c r="AR93" s="101" t="s">
        <v>243</v>
      </c>
      <c r="AS93" s="99"/>
      <c r="AT93" s="98"/>
      <c r="AU93" s="98"/>
      <c r="AV93" s="98"/>
      <c r="AW93" s="98"/>
      <c r="AX93" s="98"/>
      <c r="AY93" s="104"/>
      <c r="AZ93" s="104"/>
      <c r="BA93" s="104"/>
      <c r="BB93" s="102"/>
      <c r="BC93" s="98"/>
      <c r="BD93" s="98">
        <v>59</v>
      </c>
      <c r="BE93" s="100"/>
      <c r="BF93" s="100"/>
      <c r="BG93" s="142"/>
      <c r="BH93" s="101" t="s">
        <v>933</v>
      </c>
      <c r="BI93" s="101"/>
      <c r="BJ93" s="101"/>
      <c r="BK93" s="99">
        <v>3</v>
      </c>
    </row>
    <row x14ac:dyDescent="0.25" r="94" customHeight="1" ht="50.25">
      <c r="A94" s="143" t="s">
        <v>386</v>
      </c>
      <c r="B94" s="144" t="s">
        <v>908</v>
      </c>
      <c r="C94" s="145" t="s">
        <v>934</v>
      </c>
      <c r="D94" s="145" t="s">
        <v>780</v>
      </c>
      <c r="E94" s="146"/>
      <c r="F94" s="146" t="s">
        <v>913</v>
      </c>
      <c r="G94" s="146" t="s">
        <v>386</v>
      </c>
      <c r="H94" s="145" t="s">
        <v>386</v>
      </c>
      <c r="I94" s="145" t="s">
        <v>386</v>
      </c>
      <c r="J94" s="145" t="s">
        <v>386</v>
      </c>
      <c r="K94" s="146"/>
      <c r="L94" s="146"/>
      <c r="M94" s="146"/>
      <c r="N94" s="146"/>
      <c r="O94" s="147"/>
      <c r="P94" s="146"/>
      <c r="Q94" s="146"/>
      <c r="R94" s="145" t="s">
        <v>901</v>
      </c>
      <c r="S94" s="145" t="s">
        <v>902</v>
      </c>
      <c r="T94" s="145"/>
      <c r="U94" s="145" t="s">
        <v>934</v>
      </c>
      <c r="V94" s="146"/>
      <c r="W94" s="148"/>
      <c r="X94" s="145"/>
      <c r="Y94" s="146"/>
      <c r="Z94" s="149"/>
      <c r="AA94" s="145"/>
      <c r="AB94" s="145" t="s">
        <v>866</v>
      </c>
      <c r="AC94" s="146" t="s">
        <v>52</v>
      </c>
      <c r="AD94" s="145" t="s">
        <v>596</v>
      </c>
      <c r="AE94" s="150" t="s">
        <v>760</v>
      </c>
      <c r="AF94" s="145"/>
      <c r="AG94" s="145"/>
      <c r="AH94" s="145"/>
      <c r="AI94" s="145"/>
      <c r="AJ94" s="145"/>
      <c r="AK94" s="145"/>
      <c r="AL94" s="145"/>
      <c r="AM94" s="145"/>
      <c r="AN94" s="145"/>
      <c r="AO94" s="145"/>
      <c r="AP94" s="145"/>
      <c r="AQ94" s="145"/>
      <c r="AR94" s="145" t="s">
        <v>243</v>
      </c>
      <c r="AS94" s="143"/>
      <c r="AT94" s="151"/>
      <c r="AU94" s="151"/>
      <c r="AV94" s="151"/>
      <c r="AW94" s="151"/>
      <c r="AX94" s="151"/>
      <c r="AY94" s="148"/>
      <c r="AZ94" s="148"/>
      <c r="BA94" s="148"/>
      <c r="BB94" s="144"/>
      <c r="BC94" s="151"/>
      <c r="BD94" s="151">
        <v>60</v>
      </c>
      <c r="BE94" s="146"/>
      <c r="BF94" s="146"/>
      <c r="BG94" s="152"/>
      <c r="BH94" s="145" t="s">
        <v>934</v>
      </c>
      <c r="BI94" s="145"/>
      <c r="BJ94" s="145"/>
      <c r="BK94" s="143">
        <v>3</v>
      </c>
    </row>
    <row x14ac:dyDescent="0.25" r="95" customHeight="1" ht="50.25">
      <c r="A95" s="90" t="s">
        <v>386</v>
      </c>
      <c r="B95" s="91" t="s">
        <v>908</v>
      </c>
      <c r="C95" s="52" t="s">
        <v>935</v>
      </c>
      <c r="D95" s="52" t="s">
        <v>780</v>
      </c>
      <c r="E95" s="92"/>
      <c r="F95" s="92" t="s">
        <v>916</v>
      </c>
      <c r="G95" s="92" t="s">
        <v>386</v>
      </c>
      <c r="H95" s="52" t="s">
        <v>386</v>
      </c>
      <c r="I95" s="52" t="s">
        <v>386</v>
      </c>
      <c r="J95" s="52" t="s">
        <v>386</v>
      </c>
      <c r="K95" s="92"/>
      <c r="L95" s="92"/>
      <c r="M95" s="92"/>
      <c r="N95" s="92"/>
      <c r="O95" s="93"/>
      <c r="P95" s="92"/>
      <c r="Q95" s="92"/>
      <c r="R95" s="52" t="s">
        <v>901</v>
      </c>
      <c r="S95" s="52" t="s">
        <v>902</v>
      </c>
      <c r="T95" s="52"/>
      <c r="U95" s="52" t="s">
        <v>935</v>
      </c>
      <c r="V95" s="92"/>
      <c r="W95" s="94"/>
      <c r="X95" s="52"/>
      <c r="Y95" s="92"/>
      <c r="Z95" s="153"/>
      <c r="AA95" s="52"/>
      <c r="AB95" s="52" t="s">
        <v>936</v>
      </c>
      <c r="AC95" s="92" t="s">
        <v>38</v>
      </c>
      <c r="AD95" s="52" t="s">
        <v>596</v>
      </c>
      <c r="AE95" s="96" t="s">
        <v>760</v>
      </c>
      <c r="AF95" s="52"/>
      <c r="AG95" s="52"/>
      <c r="AH95" s="52"/>
      <c r="AI95" s="52"/>
      <c r="AJ95" s="52"/>
      <c r="AK95" s="52"/>
      <c r="AL95" s="52"/>
      <c r="AM95" s="52"/>
      <c r="AN95" s="52"/>
      <c r="AO95" s="52"/>
      <c r="AP95" s="52"/>
      <c r="AQ95" s="52"/>
      <c r="AR95" s="52" t="s">
        <v>243</v>
      </c>
      <c r="AS95" s="90"/>
      <c r="AT95" s="97"/>
      <c r="AU95" s="97"/>
      <c r="AV95" s="97"/>
      <c r="AW95" s="97"/>
      <c r="AX95" s="97"/>
      <c r="AY95" s="94"/>
      <c r="AZ95" s="94"/>
      <c r="BA95" s="94"/>
      <c r="BB95" s="91"/>
      <c r="BC95" s="97"/>
      <c r="BD95" s="97">
        <v>61</v>
      </c>
      <c r="BE95" s="92"/>
      <c r="BF95" s="92"/>
      <c r="BG95" s="154"/>
      <c r="BH95" s="52" t="s">
        <v>935</v>
      </c>
      <c r="BI95" s="52"/>
      <c r="BJ95" s="52"/>
      <c r="BK95" s="90">
        <v>3</v>
      </c>
    </row>
    <row x14ac:dyDescent="0.25" r="96" customHeight="1" ht="50.25">
      <c r="A96" s="90" t="s">
        <v>386</v>
      </c>
      <c r="B96" s="91" t="s">
        <v>908</v>
      </c>
      <c r="C96" s="52" t="s">
        <v>937</v>
      </c>
      <c r="D96" s="52" t="s">
        <v>780</v>
      </c>
      <c r="E96" s="92"/>
      <c r="F96" s="92" t="s">
        <v>913</v>
      </c>
      <c r="G96" s="92" t="s">
        <v>386</v>
      </c>
      <c r="H96" s="52" t="s">
        <v>386</v>
      </c>
      <c r="I96" s="52" t="s">
        <v>386</v>
      </c>
      <c r="J96" s="52" t="s">
        <v>386</v>
      </c>
      <c r="K96" s="92"/>
      <c r="L96" s="92"/>
      <c r="M96" s="92"/>
      <c r="N96" s="92"/>
      <c r="O96" s="93"/>
      <c r="P96" s="92"/>
      <c r="Q96" s="92"/>
      <c r="R96" s="52" t="s">
        <v>901</v>
      </c>
      <c r="S96" s="52" t="s">
        <v>902</v>
      </c>
      <c r="T96" s="52"/>
      <c r="U96" s="52" t="s">
        <v>937</v>
      </c>
      <c r="V96" s="92"/>
      <c r="W96" s="94"/>
      <c r="X96" s="52"/>
      <c r="Y96" s="92"/>
      <c r="Z96" s="153"/>
      <c r="AA96" s="52"/>
      <c r="AB96" s="52" t="s">
        <v>938</v>
      </c>
      <c r="AC96" s="92" t="s">
        <v>52</v>
      </c>
      <c r="AD96" s="52" t="s">
        <v>596</v>
      </c>
      <c r="AE96" s="96" t="s">
        <v>760</v>
      </c>
      <c r="AF96" s="52"/>
      <c r="AG96" s="52"/>
      <c r="AH96" s="52"/>
      <c r="AI96" s="52"/>
      <c r="AJ96" s="52"/>
      <c r="AK96" s="52"/>
      <c r="AL96" s="52"/>
      <c r="AM96" s="52"/>
      <c r="AN96" s="52"/>
      <c r="AO96" s="52"/>
      <c r="AP96" s="52"/>
      <c r="AQ96" s="52"/>
      <c r="AR96" s="52" t="s">
        <v>243</v>
      </c>
      <c r="AS96" s="90"/>
      <c r="AT96" s="97"/>
      <c r="AU96" s="97"/>
      <c r="AV96" s="97"/>
      <c r="AW96" s="97"/>
      <c r="AX96" s="97"/>
      <c r="AY96" s="94"/>
      <c r="AZ96" s="94"/>
      <c r="BA96" s="94"/>
      <c r="BB96" s="91"/>
      <c r="BC96" s="97"/>
      <c r="BD96" s="97">
        <v>62</v>
      </c>
      <c r="BE96" s="92"/>
      <c r="BF96" s="92"/>
      <c r="BG96" s="154"/>
      <c r="BH96" s="52" t="s">
        <v>937</v>
      </c>
      <c r="BI96" s="52"/>
      <c r="BJ96" s="52"/>
      <c r="BK96" s="90">
        <v>3</v>
      </c>
    </row>
    <row x14ac:dyDescent="0.25" r="97" customHeight="1" ht="42">
      <c r="A97" s="30" t="s">
        <v>386</v>
      </c>
      <c r="B97" s="1" t="s">
        <v>908</v>
      </c>
      <c r="C97" s="133" t="s">
        <v>939</v>
      </c>
      <c r="D97" s="31" t="s">
        <v>780</v>
      </c>
      <c r="E97" s="5"/>
      <c r="F97" s="5" t="s">
        <v>916</v>
      </c>
      <c r="G97" s="5" t="s">
        <v>386</v>
      </c>
      <c r="H97" s="31" t="s">
        <v>386</v>
      </c>
      <c r="I97" s="31" t="s">
        <v>386</v>
      </c>
      <c r="J97" s="31" t="s">
        <v>386</v>
      </c>
      <c r="K97" s="62"/>
      <c r="L97" s="62"/>
      <c r="M97" s="5"/>
      <c r="N97" s="5"/>
      <c r="O97" s="33"/>
      <c r="P97" s="5"/>
      <c r="Q97" s="5"/>
      <c r="R97" s="31" t="s">
        <v>901</v>
      </c>
      <c r="S97" s="55" t="s">
        <v>902</v>
      </c>
      <c r="T97" s="31"/>
      <c r="U97" s="31" t="s">
        <v>939</v>
      </c>
      <c r="V97" s="5"/>
      <c r="W97" s="134"/>
      <c r="X97" s="41"/>
      <c r="Y97" s="42"/>
      <c r="Z97" s="20"/>
      <c r="AA97" s="31"/>
      <c r="AB97" s="55" t="s">
        <v>940</v>
      </c>
      <c r="AC97" s="5" t="s">
        <v>38</v>
      </c>
      <c r="AD97" s="31" t="s">
        <v>596</v>
      </c>
      <c r="AE97" s="36" t="s">
        <v>941</v>
      </c>
      <c r="AF97" s="31" t="s">
        <v>942</v>
      </c>
      <c r="AG97" s="31"/>
      <c r="AH97" s="31"/>
      <c r="AI97" s="31"/>
      <c r="AJ97" s="31"/>
      <c r="AK97" s="31"/>
      <c r="AL97" s="31"/>
      <c r="AM97" s="31"/>
      <c r="AN97" s="31"/>
      <c r="AO97" s="31"/>
      <c r="AP97" s="31"/>
      <c r="AQ97" s="31"/>
      <c r="AR97" s="31" t="s">
        <v>243</v>
      </c>
      <c r="AS97" s="30"/>
      <c r="AT97" s="37"/>
      <c r="AU97" s="37"/>
      <c r="AV97" s="37"/>
      <c r="AW97" s="37"/>
      <c r="AX97" s="37"/>
      <c r="AY97" s="38"/>
      <c r="AZ97" s="38"/>
      <c r="BA97" s="38"/>
      <c r="BB97" s="46"/>
      <c r="BC97" s="37"/>
      <c r="BD97" s="37">
        <v>63</v>
      </c>
      <c r="BE97" s="5"/>
      <c r="BF97" s="5"/>
      <c r="BG97" s="3"/>
      <c r="BH97" s="31" t="s">
        <v>939</v>
      </c>
      <c r="BI97" s="31"/>
      <c r="BJ97" s="48"/>
      <c r="BK97" s="49">
        <v>2</v>
      </c>
    </row>
    <row x14ac:dyDescent="0.25" r="98" customHeight="1" ht="49.5">
      <c r="A98" s="30" t="s">
        <v>386</v>
      </c>
      <c r="B98" s="1" t="s">
        <v>908</v>
      </c>
      <c r="C98" s="133" t="s">
        <v>943</v>
      </c>
      <c r="D98" s="31" t="s">
        <v>780</v>
      </c>
      <c r="E98" s="5"/>
      <c r="F98" s="5" t="s">
        <v>916</v>
      </c>
      <c r="G98" s="5" t="s">
        <v>386</v>
      </c>
      <c r="H98" s="31" t="s">
        <v>386</v>
      </c>
      <c r="I98" s="31" t="s">
        <v>386</v>
      </c>
      <c r="J98" s="31" t="s">
        <v>386</v>
      </c>
      <c r="K98" s="62"/>
      <c r="L98" s="62"/>
      <c r="M98" s="5"/>
      <c r="N98" s="5"/>
      <c r="O98" s="33"/>
      <c r="P98" s="5"/>
      <c r="Q98" s="5"/>
      <c r="R98" s="31" t="s">
        <v>901</v>
      </c>
      <c r="S98" s="55" t="s">
        <v>902</v>
      </c>
      <c r="T98" s="31"/>
      <c r="U98" s="31" t="s">
        <v>943</v>
      </c>
      <c r="V98" s="5"/>
      <c r="W98" s="134"/>
      <c r="X98" s="41"/>
      <c r="Y98" s="42"/>
      <c r="Z98" s="20"/>
      <c r="AA98" s="31"/>
      <c r="AB98" s="55" t="s">
        <v>944</v>
      </c>
      <c r="AC98" s="5" t="s">
        <v>38</v>
      </c>
      <c r="AD98" s="31" t="s">
        <v>596</v>
      </c>
      <c r="AE98" s="36" t="s">
        <v>941</v>
      </c>
      <c r="AF98" s="31" t="s">
        <v>945</v>
      </c>
      <c r="AG98" s="31"/>
      <c r="AH98" s="31"/>
      <c r="AI98" s="31"/>
      <c r="AJ98" s="31"/>
      <c r="AK98" s="31"/>
      <c r="AL98" s="31"/>
      <c r="AM98" s="31"/>
      <c r="AN98" s="31"/>
      <c r="AO98" s="31"/>
      <c r="AP98" s="31"/>
      <c r="AQ98" s="31"/>
      <c r="AR98" s="31" t="s">
        <v>243</v>
      </c>
      <c r="AS98" s="30"/>
      <c r="AT98" s="37"/>
      <c r="AU98" s="37"/>
      <c r="AV98" s="37"/>
      <c r="AW98" s="37"/>
      <c r="AX98" s="37"/>
      <c r="AY98" s="38"/>
      <c r="AZ98" s="38"/>
      <c r="BA98" s="38"/>
      <c r="BB98" s="46"/>
      <c r="BC98" s="37"/>
      <c r="BD98" s="37">
        <v>64</v>
      </c>
      <c r="BE98" s="5"/>
      <c r="BF98" s="5"/>
      <c r="BG98" s="3"/>
      <c r="BH98" s="31" t="s">
        <v>943</v>
      </c>
      <c r="BI98" s="31"/>
      <c r="BJ98" s="48"/>
      <c r="BK98" s="49">
        <v>2</v>
      </c>
    </row>
    <row x14ac:dyDescent="0.25" r="99" customHeight="1" ht="31.5">
      <c r="A99" s="30" t="s">
        <v>386</v>
      </c>
      <c r="B99" s="1" t="s">
        <v>908</v>
      </c>
      <c r="C99" s="133" t="s">
        <v>946</v>
      </c>
      <c r="D99" s="31" t="s">
        <v>780</v>
      </c>
      <c r="E99" s="5"/>
      <c r="F99" s="5" t="s">
        <v>916</v>
      </c>
      <c r="G99" s="5" t="s">
        <v>386</v>
      </c>
      <c r="H99" s="31" t="s">
        <v>386</v>
      </c>
      <c r="I99" s="31" t="s">
        <v>386</v>
      </c>
      <c r="J99" s="31" t="s">
        <v>386</v>
      </c>
      <c r="K99" s="62"/>
      <c r="L99" s="62"/>
      <c r="M99" s="5"/>
      <c r="N99" s="5"/>
      <c r="O99" s="33"/>
      <c r="P99" s="5"/>
      <c r="Q99" s="5"/>
      <c r="R99" s="31" t="s">
        <v>901</v>
      </c>
      <c r="S99" s="55" t="s">
        <v>902</v>
      </c>
      <c r="T99" s="31"/>
      <c r="U99" s="31" t="s">
        <v>946</v>
      </c>
      <c r="V99" s="5"/>
      <c r="W99" s="134"/>
      <c r="X99" s="41"/>
      <c r="Y99" s="42"/>
      <c r="Z99" s="20"/>
      <c r="AA99" s="31"/>
      <c r="AB99" s="55" t="s">
        <v>947</v>
      </c>
      <c r="AC99" s="5" t="s">
        <v>38</v>
      </c>
      <c r="AD99" s="31" t="s">
        <v>596</v>
      </c>
      <c r="AE99" s="36" t="s">
        <v>941</v>
      </c>
      <c r="AF99" s="31" t="s">
        <v>948</v>
      </c>
      <c r="AG99" s="31"/>
      <c r="AH99" s="31"/>
      <c r="AI99" s="31"/>
      <c r="AJ99" s="31"/>
      <c r="AK99" s="31"/>
      <c r="AL99" s="31"/>
      <c r="AM99" s="31"/>
      <c r="AN99" s="31"/>
      <c r="AO99" s="31"/>
      <c r="AP99" s="31"/>
      <c r="AQ99" s="31"/>
      <c r="AR99" s="31" t="s">
        <v>243</v>
      </c>
      <c r="AS99" s="30"/>
      <c r="AT99" s="37"/>
      <c r="AU99" s="37"/>
      <c r="AV99" s="37"/>
      <c r="AW99" s="37"/>
      <c r="AX99" s="37"/>
      <c r="AY99" s="38"/>
      <c r="AZ99" s="38"/>
      <c r="BA99" s="38"/>
      <c r="BB99" s="46"/>
      <c r="BC99" s="37"/>
      <c r="BD99" s="37">
        <v>65</v>
      </c>
      <c r="BE99" s="5"/>
      <c r="BF99" s="5"/>
      <c r="BG99" s="3"/>
      <c r="BH99" s="31" t="s">
        <v>946</v>
      </c>
      <c r="BI99" s="31"/>
      <c r="BJ99" s="48"/>
      <c r="BK99" s="49">
        <v>2</v>
      </c>
    </row>
    <row x14ac:dyDescent="0.25" r="100" customHeight="1" ht="31.5">
      <c r="A100" s="30" t="s">
        <v>386</v>
      </c>
      <c r="B100" s="1" t="s">
        <v>908</v>
      </c>
      <c r="C100" s="133" t="s">
        <v>949</v>
      </c>
      <c r="D100" s="31" t="s">
        <v>780</v>
      </c>
      <c r="E100" s="5"/>
      <c r="F100" s="5" t="s">
        <v>916</v>
      </c>
      <c r="G100" s="5" t="s">
        <v>386</v>
      </c>
      <c r="H100" s="31" t="s">
        <v>386</v>
      </c>
      <c r="I100" s="31" t="s">
        <v>386</v>
      </c>
      <c r="J100" s="31" t="s">
        <v>386</v>
      </c>
      <c r="K100" s="62"/>
      <c r="L100" s="62"/>
      <c r="M100" s="5"/>
      <c r="N100" s="5"/>
      <c r="O100" s="33"/>
      <c r="P100" s="5"/>
      <c r="Q100" s="5"/>
      <c r="R100" s="31" t="s">
        <v>901</v>
      </c>
      <c r="S100" s="55" t="s">
        <v>902</v>
      </c>
      <c r="T100" s="31"/>
      <c r="U100" s="31" t="s">
        <v>949</v>
      </c>
      <c r="V100" s="5"/>
      <c r="W100" s="134"/>
      <c r="X100" s="41"/>
      <c r="Y100" s="42"/>
      <c r="Z100" s="20"/>
      <c r="AA100" s="31"/>
      <c r="AB100" s="55" t="s">
        <v>950</v>
      </c>
      <c r="AC100" s="5" t="s">
        <v>38</v>
      </c>
      <c r="AD100" s="31" t="s">
        <v>596</v>
      </c>
      <c r="AE100" s="36" t="s">
        <v>941</v>
      </c>
      <c r="AF100" s="31" t="s">
        <v>951</v>
      </c>
      <c r="AG100" s="31"/>
      <c r="AH100" s="31"/>
      <c r="AI100" s="31"/>
      <c r="AJ100" s="31"/>
      <c r="AK100" s="31"/>
      <c r="AL100" s="31"/>
      <c r="AM100" s="31"/>
      <c r="AN100" s="31"/>
      <c r="AO100" s="31"/>
      <c r="AP100" s="31"/>
      <c r="AQ100" s="31"/>
      <c r="AR100" s="31" t="s">
        <v>243</v>
      </c>
      <c r="AS100" s="30"/>
      <c r="AT100" s="37"/>
      <c r="AU100" s="37"/>
      <c r="AV100" s="37"/>
      <c r="AW100" s="37"/>
      <c r="AX100" s="37"/>
      <c r="AY100" s="38"/>
      <c r="AZ100" s="38"/>
      <c r="BA100" s="38"/>
      <c r="BB100" s="46"/>
      <c r="BC100" s="37"/>
      <c r="BD100" s="37">
        <v>66</v>
      </c>
      <c r="BE100" s="5"/>
      <c r="BF100" s="5"/>
      <c r="BG100" s="3"/>
      <c r="BH100" s="31" t="s">
        <v>949</v>
      </c>
      <c r="BI100" s="31"/>
      <c r="BJ100" s="48"/>
      <c r="BK100" s="49">
        <v>2</v>
      </c>
    </row>
    <row x14ac:dyDescent="0.25" r="101" customHeight="1" ht="41.25">
      <c r="A101" s="30" t="s">
        <v>386</v>
      </c>
      <c r="B101" s="1" t="s">
        <v>908</v>
      </c>
      <c r="C101" s="133" t="s">
        <v>952</v>
      </c>
      <c r="D101" s="31" t="s">
        <v>780</v>
      </c>
      <c r="E101" s="5"/>
      <c r="F101" s="5" t="s">
        <v>916</v>
      </c>
      <c r="G101" s="5" t="s">
        <v>386</v>
      </c>
      <c r="H101" s="31" t="s">
        <v>386</v>
      </c>
      <c r="I101" s="31" t="s">
        <v>386</v>
      </c>
      <c r="J101" s="31" t="s">
        <v>386</v>
      </c>
      <c r="K101" s="62"/>
      <c r="L101" s="62"/>
      <c r="M101" s="5"/>
      <c r="N101" s="5"/>
      <c r="O101" s="33"/>
      <c r="P101" s="5"/>
      <c r="Q101" s="5"/>
      <c r="R101" s="31" t="s">
        <v>901</v>
      </c>
      <c r="S101" s="55" t="s">
        <v>902</v>
      </c>
      <c r="T101" s="31"/>
      <c r="U101" s="31" t="s">
        <v>952</v>
      </c>
      <c r="V101" s="5"/>
      <c r="W101" s="134"/>
      <c r="X101" s="41"/>
      <c r="Y101" s="42"/>
      <c r="Z101" s="20"/>
      <c r="AA101" s="31"/>
      <c r="AB101" s="55" t="s">
        <v>953</v>
      </c>
      <c r="AC101" s="5" t="s">
        <v>38</v>
      </c>
      <c r="AD101" s="31" t="s">
        <v>596</v>
      </c>
      <c r="AE101" s="36" t="s">
        <v>941</v>
      </c>
      <c r="AF101" s="31" t="s">
        <v>954</v>
      </c>
      <c r="AG101" s="31"/>
      <c r="AH101" s="31"/>
      <c r="AI101" s="31"/>
      <c r="AJ101" s="31"/>
      <c r="AK101" s="31"/>
      <c r="AL101" s="31"/>
      <c r="AM101" s="31"/>
      <c r="AN101" s="31"/>
      <c r="AO101" s="31"/>
      <c r="AP101" s="31"/>
      <c r="AQ101" s="31"/>
      <c r="AR101" s="31" t="s">
        <v>243</v>
      </c>
      <c r="AS101" s="30"/>
      <c r="AT101" s="37"/>
      <c r="AU101" s="37"/>
      <c r="AV101" s="37"/>
      <c r="AW101" s="37"/>
      <c r="AX101" s="37"/>
      <c r="AY101" s="38"/>
      <c r="AZ101" s="38"/>
      <c r="BA101" s="38"/>
      <c r="BB101" s="46"/>
      <c r="BC101" s="37"/>
      <c r="BD101" s="37">
        <v>67</v>
      </c>
      <c r="BE101" s="5"/>
      <c r="BF101" s="5"/>
      <c r="BG101" s="3"/>
      <c r="BH101" s="31" t="s">
        <v>952</v>
      </c>
      <c r="BI101" s="31"/>
      <c r="BJ101" s="48"/>
      <c r="BK101" s="49">
        <v>2</v>
      </c>
    </row>
    <row x14ac:dyDescent="0.25" r="102" customHeight="1" ht="41.25">
      <c r="A102" s="30" t="s">
        <v>386</v>
      </c>
      <c r="B102" s="1" t="s">
        <v>908</v>
      </c>
      <c r="C102" s="133" t="s">
        <v>955</v>
      </c>
      <c r="D102" s="31" t="s">
        <v>780</v>
      </c>
      <c r="E102" s="5"/>
      <c r="F102" s="5" t="s">
        <v>916</v>
      </c>
      <c r="G102" s="5" t="s">
        <v>386</v>
      </c>
      <c r="H102" s="31" t="s">
        <v>386</v>
      </c>
      <c r="I102" s="31" t="s">
        <v>386</v>
      </c>
      <c r="J102" s="31" t="s">
        <v>386</v>
      </c>
      <c r="K102" s="62"/>
      <c r="L102" s="62"/>
      <c r="M102" s="5"/>
      <c r="N102" s="5"/>
      <c r="O102" s="33"/>
      <c r="P102" s="5"/>
      <c r="Q102" s="5"/>
      <c r="R102" s="31" t="s">
        <v>901</v>
      </c>
      <c r="S102" s="55" t="s">
        <v>902</v>
      </c>
      <c r="T102" s="31"/>
      <c r="U102" s="31" t="s">
        <v>955</v>
      </c>
      <c r="V102" s="5"/>
      <c r="W102" s="134"/>
      <c r="X102" s="41"/>
      <c r="Y102" s="42"/>
      <c r="Z102" s="20"/>
      <c r="AA102" s="31"/>
      <c r="AB102" s="55" t="s">
        <v>956</v>
      </c>
      <c r="AC102" s="5" t="s">
        <v>38</v>
      </c>
      <c r="AD102" s="31" t="s">
        <v>596</v>
      </c>
      <c r="AE102" s="36" t="s">
        <v>941</v>
      </c>
      <c r="AF102" s="31" t="s">
        <v>957</v>
      </c>
      <c r="AG102" s="31"/>
      <c r="AH102" s="31"/>
      <c r="AI102" s="31"/>
      <c r="AJ102" s="31"/>
      <c r="AK102" s="31"/>
      <c r="AL102" s="31"/>
      <c r="AM102" s="31"/>
      <c r="AN102" s="31"/>
      <c r="AO102" s="31"/>
      <c r="AP102" s="31"/>
      <c r="AQ102" s="31"/>
      <c r="AR102" s="31" t="s">
        <v>243</v>
      </c>
      <c r="AS102" s="30"/>
      <c r="AT102" s="37"/>
      <c r="AU102" s="37"/>
      <c r="AV102" s="37"/>
      <c r="AW102" s="37"/>
      <c r="AX102" s="37"/>
      <c r="AY102" s="38"/>
      <c r="AZ102" s="38"/>
      <c r="BA102" s="38"/>
      <c r="BB102" s="46"/>
      <c r="BC102" s="37"/>
      <c r="BD102" s="37">
        <v>68</v>
      </c>
      <c r="BE102" s="5"/>
      <c r="BF102" s="5"/>
      <c r="BG102" s="3"/>
      <c r="BH102" s="31" t="s">
        <v>955</v>
      </c>
      <c r="BI102" s="31"/>
      <c r="BJ102" s="48"/>
      <c r="BK102" s="49">
        <v>2</v>
      </c>
    </row>
    <row x14ac:dyDescent="0.25" r="103" customHeight="1" ht="41.25">
      <c r="A103" s="30" t="s">
        <v>386</v>
      </c>
      <c r="B103" s="1" t="s">
        <v>908</v>
      </c>
      <c r="C103" s="133" t="s">
        <v>958</v>
      </c>
      <c r="D103" s="31" t="s">
        <v>780</v>
      </c>
      <c r="E103" s="5"/>
      <c r="F103" s="5" t="s">
        <v>916</v>
      </c>
      <c r="G103" s="5" t="s">
        <v>386</v>
      </c>
      <c r="H103" s="31" t="s">
        <v>386</v>
      </c>
      <c r="I103" s="31" t="s">
        <v>386</v>
      </c>
      <c r="J103" s="31" t="s">
        <v>386</v>
      </c>
      <c r="K103" s="62"/>
      <c r="L103" s="62"/>
      <c r="M103" s="5"/>
      <c r="N103" s="5"/>
      <c r="O103" s="33"/>
      <c r="P103" s="5"/>
      <c r="Q103" s="5"/>
      <c r="R103" s="31" t="s">
        <v>901</v>
      </c>
      <c r="S103" s="55" t="s">
        <v>902</v>
      </c>
      <c r="T103" s="31"/>
      <c r="U103" s="31" t="s">
        <v>959</v>
      </c>
      <c r="V103" s="5"/>
      <c r="W103" s="134"/>
      <c r="X103" s="41"/>
      <c r="Y103" s="42"/>
      <c r="Z103" s="20"/>
      <c r="AA103" s="31"/>
      <c r="AB103" s="55" t="s">
        <v>960</v>
      </c>
      <c r="AC103" s="5" t="s">
        <v>38</v>
      </c>
      <c r="AD103" s="31" t="s">
        <v>596</v>
      </c>
      <c r="AE103" s="36" t="s">
        <v>961</v>
      </c>
      <c r="AF103" s="31" t="s">
        <v>962</v>
      </c>
      <c r="AG103" s="31"/>
      <c r="AH103" s="31"/>
      <c r="AI103" s="31"/>
      <c r="AJ103" s="31"/>
      <c r="AK103" s="31"/>
      <c r="AL103" s="31"/>
      <c r="AM103" s="31"/>
      <c r="AN103" s="31"/>
      <c r="AO103" s="31"/>
      <c r="AP103" s="31"/>
      <c r="AQ103" s="31"/>
      <c r="AR103" s="31" t="s">
        <v>243</v>
      </c>
      <c r="AS103" s="30"/>
      <c r="AT103" s="37"/>
      <c r="AU103" s="37"/>
      <c r="AV103" s="37"/>
      <c r="AW103" s="37"/>
      <c r="AX103" s="37"/>
      <c r="AY103" s="38"/>
      <c r="AZ103" s="38"/>
      <c r="BA103" s="38"/>
      <c r="BB103" s="46"/>
      <c r="BC103" s="37"/>
      <c r="BD103" s="37">
        <v>69</v>
      </c>
      <c r="BE103" s="5"/>
      <c r="BF103" s="5"/>
      <c r="BG103" s="3"/>
      <c r="BH103" s="31" t="s">
        <v>963</v>
      </c>
      <c r="BI103" s="31"/>
      <c r="BJ103" s="48"/>
      <c r="BK103" s="49">
        <v>2</v>
      </c>
    </row>
    <row x14ac:dyDescent="0.25" r="104" customHeight="1" ht="41.25">
      <c r="A104" s="30" t="s">
        <v>386</v>
      </c>
      <c r="B104" s="1" t="s">
        <v>908</v>
      </c>
      <c r="C104" s="133" t="s">
        <v>964</v>
      </c>
      <c r="D104" s="31" t="s">
        <v>780</v>
      </c>
      <c r="E104" s="5"/>
      <c r="F104" s="5" t="s">
        <v>916</v>
      </c>
      <c r="G104" s="5" t="s">
        <v>386</v>
      </c>
      <c r="H104" s="31" t="s">
        <v>386</v>
      </c>
      <c r="I104" s="31" t="s">
        <v>386</v>
      </c>
      <c r="J104" s="31" t="s">
        <v>386</v>
      </c>
      <c r="K104" s="62"/>
      <c r="L104" s="62"/>
      <c r="M104" s="5"/>
      <c r="N104" s="5"/>
      <c r="O104" s="33"/>
      <c r="P104" s="5"/>
      <c r="Q104" s="5"/>
      <c r="R104" s="31" t="s">
        <v>901</v>
      </c>
      <c r="S104" s="55" t="s">
        <v>902</v>
      </c>
      <c r="T104" s="31"/>
      <c r="U104" s="31" t="s">
        <v>965</v>
      </c>
      <c r="V104" s="5"/>
      <c r="W104" s="134"/>
      <c r="X104" s="41"/>
      <c r="Y104" s="42"/>
      <c r="Z104" s="20"/>
      <c r="AA104" s="31"/>
      <c r="AB104" s="55" t="s">
        <v>966</v>
      </c>
      <c r="AC104" s="5" t="s">
        <v>38</v>
      </c>
      <c r="AD104" s="31" t="s">
        <v>596</v>
      </c>
      <c r="AE104" s="36" t="s">
        <v>961</v>
      </c>
      <c r="AF104" s="31" t="s">
        <v>967</v>
      </c>
      <c r="AG104" s="31"/>
      <c r="AH104" s="31"/>
      <c r="AI104" s="31"/>
      <c r="AJ104" s="31"/>
      <c r="AK104" s="31"/>
      <c r="AL104" s="31"/>
      <c r="AM104" s="31"/>
      <c r="AN104" s="31"/>
      <c r="AO104" s="31"/>
      <c r="AP104" s="31"/>
      <c r="AQ104" s="31"/>
      <c r="AR104" s="31" t="s">
        <v>243</v>
      </c>
      <c r="AS104" s="30"/>
      <c r="AT104" s="37"/>
      <c r="AU104" s="37"/>
      <c r="AV104" s="37"/>
      <c r="AW104" s="37"/>
      <c r="AX104" s="37"/>
      <c r="AY104" s="38"/>
      <c r="AZ104" s="38"/>
      <c r="BA104" s="38"/>
      <c r="BB104" s="46"/>
      <c r="BC104" s="37"/>
      <c r="BD104" s="37">
        <v>70</v>
      </c>
      <c r="BE104" s="5"/>
      <c r="BF104" s="5"/>
      <c r="BG104" s="3"/>
      <c r="BH104" s="31" t="s">
        <v>968</v>
      </c>
      <c r="BI104" s="31"/>
      <c r="BJ104" s="48"/>
      <c r="BK104" s="49">
        <v>2</v>
      </c>
    </row>
    <row x14ac:dyDescent="0.25" r="105" customHeight="1" ht="41.25">
      <c r="A105" s="30" t="s">
        <v>386</v>
      </c>
      <c r="B105" s="1" t="s">
        <v>908</v>
      </c>
      <c r="C105" s="133" t="s">
        <v>969</v>
      </c>
      <c r="D105" s="31" t="s">
        <v>780</v>
      </c>
      <c r="E105" s="5"/>
      <c r="F105" s="5" t="s">
        <v>226</v>
      </c>
      <c r="G105" s="5" t="s">
        <v>386</v>
      </c>
      <c r="H105" s="31" t="s">
        <v>386</v>
      </c>
      <c r="I105" s="31" t="s">
        <v>386</v>
      </c>
      <c r="J105" s="31" t="s">
        <v>386</v>
      </c>
      <c r="K105" s="62"/>
      <c r="L105" s="62"/>
      <c r="M105" s="5"/>
      <c r="N105" s="5"/>
      <c r="O105" s="33"/>
      <c r="P105" s="5"/>
      <c r="Q105" s="5"/>
      <c r="R105" s="31" t="s">
        <v>901</v>
      </c>
      <c r="S105" s="55" t="s">
        <v>902</v>
      </c>
      <c r="T105" s="31"/>
      <c r="U105" s="31" t="s">
        <v>969</v>
      </c>
      <c r="V105" s="5"/>
      <c r="W105" s="134"/>
      <c r="X105" s="41"/>
      <c r="Y105" s="42"/>
      <c r="Z105" s="20"/>
      <c r="AA105" s="31"/>
      <c r="AB105" s="55" t="s">
        <v>970</v>
      </c>
      <c r="AC105" s="5" t="s">
        <v>52</v>
      </c>
      <c r="AD105" s="31" t="s">
        <v>596</v>
      </c>
      <c r="AE105" s="36" t="s">
        <v>971</v>
      </c>
      <c r="AF105" s="31" t="s">
        <v>970</v>
      </c>
      <c r="AG105" s="31"/>
      <c r="AH105" s="31"/>
      <c r="AI105" s="31"/>
      <c r="AJ105" s="31"/>
      <c r="AK105" s="31"/>
      <c r="AL105" s="31"/>
      <c r="AM105" s="31"/>
      <c r="AN105" s="31"/>
      <c r="AO105" s="31"/>
      <c r="AP105" s="31"/>
      <c r="AQ105" s="31"/>
      <c r="AR105" s="31" t="s">
        <v>243</v>
      </c>
      <c r="AS105" s="30"/>
      <c r="AT105" s="37"/>
      <c r="AU105" s="37"/>
      <c r="AV105" s="37"/>
      <c r="AW105" s="37"/>
      <c r="AX105" s="37"/>
      <c r="AY105" s="38"/>
      <c r="AZ105" s="38"/>
      <c r="BA105" s="38"/>
      <c r="BB105" s="46"/>
      <c r="BC105" s="37"/>
      <c r="BD105" s="37">
        <v>71</v>
      </c>
      <c r="BE105" s="5"/>
      <c r="BF105" s="5"/>
      <c r="BG105" s="3"/>
      <c r="BH105" s="31" t="s">
        <v>969</v>
      </c>
      <c r="BI105" s="31"/>
      <c r="BJ105" s="48"/>
      <c r="BK105" s="49">
        <v>2</v>
      </c>
    </row>
    <row x14ac:dyDescent="0.25" r="106" customHeight="1" ht="42">
      <c r="A106" s="50">
        <v>10148</v>
      </c>
      <c r="B106" s="155" t="s">
        <v>972</v>
      </c>
      <c r="C106" s="51" t="s">
        <v>973</v>
      </c>
      <c r="D106" s="51" t="s">
        <v>974</v>
      </c>
      <c r="E106" s="155" t="s">
        <v>529</v>
      </c>
      <c r="F106" s="155" t="s">
        <v>577</v>
      </c>
      <c r="G106" s="155" t="s">
        <v>975</v>
      </c>
      <c r="H106" s="51" t="s">
        <v>976</v>
      </c>
      <c r="I106" s="32"/>
      <c r="J106" s="32"/>
      <c r="K106" s="5" t="s">
        <v>977</v>
      </c>
      <c r="L106" s="5"/>
      <c r="M106" s="5" t="s">
        <v>231</v>
      </c>
      <c r="N106" s="5"/>
      <c r="O106" s="33"/>
      <c r="P106" s="5"/>
      <c r="Q106" s="1" t="s">
        <v>233</v>
      </c>
      <c r="R106" s="31" t="s">
        <v>233</v>
      </c>
      <c r="S106" s="31"/>
      <c r="T106" s="31"/>
      <c r="U106" s="31" t="s">
        <v>978</v>
      </c>
      <c r="V106" s="5"/>
      <c r="W106" s="40">
        <v>1</v>
      </c>
      <c r="X106" s="41" t="s">
        <v>273</v>
      </c>
      <c r="Y106" s="42" t="s">
        <v>979</v>
      </c>
      <c r="Z106" s="35">
        <v>0</v>
      </c>
      <c r="AA106" s="31" t="s">
        <v>980</v>
      </c>
      <c r="AB106" s="31" t="s">
        <v>981</v>
      </c>
      <c r="AC106" s="5" t="s">
        <v>38</v>
      </c>
      <c r="AD106" s="31" t="s">
        <v>238</v>
      </c>
      <c r="AE106" s="36" t="s">
        <v>982</v>
      </c>
      <c r="AF106" s="31" t="s">
        <v>292</v>
      </c>
      <c r="AG106" s="31" t="s">
        <v>69</v>
      </c>
      <c r="AH106" s="31" t="s">
        <v>27</v>
      </c>
      <c r="AI106" s="31"/>
      <c r="AJ106" s="31" t="s">
        <v>241</v>
      </c>
      <c r="AK106" s="31" t="s">
        <v>238</v>
      </c>
      <c r="AL106" s="31"/>
      <c r="AM106" s="31"/>
      <c r="AN106" s="31"/>
      <c r="AO106" s="31"/>
      <c r="AP106" s="31"/>
      <c r="AQ106" s="31"/>
      <c r="AR106" s="31" t="s">
        <v>263</v>
      </c>
      <c r="AS106" s="30">
        <v>101</v>
      </c>
      <c r="AT106" s="37"/>
      <c r="AU106" s="37"/>
      <c r="AV106" s="37"/>
      <c r="AW106" s="37"/>
      <c r="AX106" s="37"/>
      <c r="AY106" s="38"/>
      <c r="AZ106" s="38"/>
      <c r="BA106" s="38"/>
      <c r="BB106" s="46" t="s">
        <v>529</v>
      </c>
      <c r="BC106" s="37">
        <v>81</v>
      </c>
      <c r="BD106" s="38"/>
      <c r="BE106" s="5"/>
      <c r="BF106" s="5"/>
      <c r="BG106" s="47" t="s">
        <v>983</v>
      </c>
      <c r="BH106" s="47"/>
      <c r="BI106" s="31" t="s">
        <v>983</v>
      </c>
      <c r="BJ106" s="48"/>
      <c r="BK106" s="49">
        <v>1</v>
      </c>
    </row>
    <row x14ac:dyDescent="0.25" r="107" customHeight="1" ht="42">
      <c r="A107" s="50">
        <v>10151</v>
      </c>
      <c r="B107" s="155" t="s">
        <v>984</v>
      </c>
      <c r="C107" s="51" t="s">
        <v>985</v>
      </c>
      <c r="D107" s="51" t="s">
        <v>986</v>
      </c>
      <c r="E107" s="155" t="s">
        <v>529</v>
      </c>
      <c r="F107" s="155" t="s">
        <v>577</v>
      </c>
      <c r="G107" s="155" t="s">
        <v>975</v>
      </c>
      <c r="H107" s="51" t="s">
        <v>987</v>
      </c>
      <c r="I107" s="32"/>
      <c r="J107" s="32"/>
      <c r="K107" s="5"/>
      <c r="L107" s="5"/>
      <c r="M107" s="5" t="s">
        <v>231</v>
      </c>
      <c r="N107" s="5"/>
      <c r="O107" s="33"/>
      <c r="P107" s="5"/>
      <c r="Q107" s="1" t="s">
        <v>233</v>
      </c>
      <c r="R107" s="31" t="s">
        <v>233</v>
      </c>
      <c r="S107" s="31"/>
      <c r="T107" s="31"/>
      <c r="U107" s="31" t="s">
        <v>988</v>
      </c>
      <c r="V107" s="5"/>
      <c r="W107" s="40">
        <v>1</v>
      </c>
      <c r="X107" s="41" t="s">
        <v>273</v>
      </c>
      <c r="Y107" s="42" t="s">
        <v>979</v>
      </c>
      <c r="Z107" s="35">
        <v>0</v>
      </c>
      <c r="AA107" s="31" t="s">
        <v>989</v>
      </c>
      <c r="AB107" s="31" t="s">
        <v>990</v>
      </c>
      <c r="AC107" s="5" t="s">
        <v>38</v>
      </c>
      <c r="AD107" s="31" t="s">
        <v>238</v>
      </c>
      <c r="AE107" s="36" t="s">
        <v>982</v>
      </c>
      <c r="AF107" s="31" t="s">
        <v>292</v>
      </c>
      <c r="AG107" s="31" t="s">
        <v>92</v>
      </c>
      <c r="AH107" s="31" t="s">
        <v>27</v>
      </c>
      <c r="AI107" s="31"/>
      <c r="AJ107" s="31" t="s">
        <v>241</v>
      </c>
      <c r="AK107" s="31" t="s">
        <v>238</v>
      </c>
      <c r="AL107" s="31"/>
      <c r="AM107" s="31"/>
      <c r="AN107" s="31"/>
      <c r="AO107" s="31"/>
      <c r="AP107" s="31"/>
      <c r="AQ107" s="31"/>
      <c r="AR107" s="31" t="s">
        <v>263</v>
      </c>
      <c r="AS107" s="30">
        <v>103</v>
      </c>
      <c r="AT107" s="37"/>
      <c r="AU107" s="37"/>
      <c r="AV107" s="37"/>
      <c r="AW107" s="37"/>
      <c r="AX107" s="37"/>
      <c r="AY107" s="38"/>
      <c r="AZ107" s="38"/>
      <c r="BA107" s="38"/>
      <c r="BB107" s="46" t="s">
        <v>529</v>
      </c>
      <c r="BC107" s="37">
        <v>82</v>
      </c>
      <c r="BD107" s="38"/>
      <c r="BE107" s="5"/>
      <c r="BF107" s="5"/>
      <c r="BG107" s="47" t="s">
        <v>991</v>
      </c>
      <c r="BH107" s="47"/>
      <c r="BI107" s="31" t="s">
        <v>991</v>
      </c>
      <c r="BJ107" s="48"/>
      <c r="BK107" s="49">
        <v>1</v>
      </c>
    </row>
    <row x14ac:dyDescent="0.25" r="108" customHeight="1" ht="31.5">
      <c r="A108" s="50" t="s">
        <v>992</v>
      </c>
      <c r="B108" s="155" t="s">
        <v>993</v>
      </c>
      <c r="C108" s="51" t="s">
        <v>994</v>
      </c>
      <c r="D108" s="51" t="s">
        <v>986</v>
      </c>
      <c r="E108" s="155" t="s">
        <v>529</v>
      </c>
      <c r="F108" s="155" t="s">
        <v>577</v>
      </c>
      <c r="G108" s="155" t="s">
        <v>975</v>
      </c>
      <c r="H108" s="51" t="s">
        <v>995</v>
      </c>
      <c r="I108" s="32"/>
      <c r="J108" s="32"/>
      <c r="K108" s="5"/>
      <c r="L108" s="5"/>
      <c r="M108" s="5" t="s">
        <v>231</v>
      </c>
      <c r="N108" s="5"/>
      <c r="O108" s="33"/>
      <c r="P108" s="5"/>
      <c r="Q108" s="1" t="s">
        <v>233</v>
      </c>
      <c r="R108" s="31" t="s">
        <v>233</v>
      </c>
      <c r="S108" s="31"/>
      <c r="T108" s="31"/>
      <c r="U108" s="31" t="s">
        <v>996</v>
      </c>
      <c r="V108" s="5"/>
      <c r="W108" s="40">
        <v>1</v>
      </c>
      <c r="X108" s="41" t="s">
        <v>273</v>
      </c>
      <c r="Y108" s="42" t="s">
        <v>979</v>
      </c>
      <c r="Z108" s="35">
        <v>0</v>
      </c>
      <c r="AA108" s="31" t="s">
        <v>989</v>
      </c>
      <c r="AB108" s="31" t="s">
        <v>997</v>
      </c>
      <c r="AC108" s="5" t="s">
        <v>38</v>
      </c>
      <c r="AD108" s="31" t="s">
        <v>238</v>
      </c>
      <c r="AE108" s="36" t="s">
        <v>982</v>
      </c>
      <c r="AF108" s="31" t="s">
        <v>292</v>
      </c>
      <c r="AG108" s="31" t="s">
        <v>110</v>
      </c>
      <c r="AH108" s="31" t="s">
        <v>27</v>
      </c>
      <c r="AI108" s="31"/>
      <c r="AJ108" s="31" t="s">
        <v>241</v>
      </c>
      <c r="AK108" s="31" t="s">
        <v>238</v>
      </c>
      <c r="AL108" s="31"/>
      <c r="AM108" s="31"/>
      <c r="AN108" s="31"/>
      <c r="AO108" s="31"/>
      <c r="AP108" s="31"/>
      <c r="AQ108" s="31"/>
      <c r="AR108" s="31" t="s">
        <v>263</v>
      </c>
      <c r="AS108" s="30">
        <v>105</v>
      </c>
      <c r="AT108" s="37"/>
      <c r="AU108" s="37"/>
      <c r="AV108" s="37"/>
      <c r="AW108" s="37"/>
      <c r="AX108" s="37"/>
      <c r="AY108" s="38"/>
      <c r="AZ108" s="38"/>
      <c r="BA108" s="38"/>
      <c r="BB108" s="46" t="s">
        <v>529</v>
      </c>
      <c r="BC108" s="37">
        <v>83</v>
      </c>
      <c r="BD108" s="38"/>
      <c r="BE108" s="5"/>
      <c r="BF108" s="5"/>
      <c r="BG108" s="47" t="s">
        <v>998</v>
      </c>
      <c r="BH108" s="47"/>
      <c r="BI108" s="31" t="s">
        <v>998</v>
      </c>
      <c r="BJ108" s="48"/>
      <c r="BK108" s="49">
        <v>1</v>
      </c>
    </row>
    <row x14ac:dyDescent="0.25" r="109" customHeight="1" ht="85.5">
      <c r="A109" s="30" t="s">
        <v>999</v>
      </c>
      <c r="B109" s="5" t="s">
        <v>1000</v>
      </c>
      <c r="C109" s="31" t="s">
        <v>1001</v>
      </c>
      <c r="D109" s="31" t="s">
        <v>1002</v>
      </c>
      <c r="E109" s="5"/>
      <c r="F109" s="5" t="s">
        <v>226</v>
      </c>
      <c r="G109" s="31" t="s">
        <v>227</v>
      </c>
      <c r="H109" s="31" t="s">
        <v>1003</v>
      </c>
      <c r="I109" s="32" t="s">
        <v>229</v>
      </c>
      <c r="J109" s="31" t="s">
        <v>1003</v>
      </c>
      <c r="K109" s="5"/>
      <c r="L109" s="5"/>
      <c r="M109" s="5" t="s">
        <v>231</v>
      </c>
      <c r="N109" s="5" t="s">
        <v>250</v>
      </c>
      <c r="O109" s="33"/>
      <c r="P109" s="5"/>
      <c r="Q109" s="1" t="s">
        <v>233</v>
      </c>
      <c r="R109" s="31"/>
      <c r="S109" s="31"/>
      <c r="T109" s="31" t="s">
        <v>1004</v>
      </c>
      <c r="U109" s="31" t="s">
        <v>1005</v>
      </c>
      <c r="V109" s="5"/>
      <c r="W109" s="34">
        <v>1</v>
      </c>
      <c r="X109" s="31" t="s">
        <v>273</v>
      </c>
      <c r="Y109" s="5" t="s">
        <v>256</v>
      </c>
      <c r="Z109" s="35">
        <v>0</v>
      </c>
      <c r="AA109" s="31"/>
      <c r="AB109" s="31" t="s">
        <v>1006</v>
      </c>
      <c r="AC109" s="5" t="s">
        <v>52</v>
      </c>
      <c r="AD109" s="31" t="s">
        <v>238</v>
      </c>
      <c r="AE109" s="36" t="s">
        <v>1007</v>
      </c>
      <c r="AF109" s="31" t="s">
        <v>1008</v>
      </c>
      <c r="AG109" s="31"/>
      <c r="AH109" s="31"/>
      <c r="AI109" s="31"/>
      <c r="AJ109" s="31" t="s">
        <v>241</v>
      </c>
      <c r="AK109" s="31" t="s">
        <v>238</v>
      </c>
      <c r="AL109" s="31"/>
      <c r="AM109" s="31"/>
      <c r="AN109" s="31"/>
      <c r="AO109" s="31"/>
      <c r="AP109" s="31"/>
      <c r="AQ109" s="31"/>
      <c r="AR109" s="31"/>
      <c r="AS109" s="30"/>
      <c r="AT109" s="37"/>
      <c r="AU109" s="37">
        <v>11</v>
      </c>
      <c r="AV109" s="37"/>
      <c r="AW109" s="37"/>
      <c r="AX109" s="37"/>
      <c r="AY109" s="38"/>
      <c r="AZ109" s="38"/>
      <c r="BA109" s="38"/>
      <c r="BB109" s="46"/>
      <c r="BC109" s="37"/>
      <c r="BD109" s="37"/>
      <c r="BE109" s="5"/>
      <c r="BF109" s="5"/>
      <c r="BG109" s="31" t="s">
        <v>1009</v>
      </c>
      <c r="BH109" s="31"/>
      <c r="BI109" s="31" t="s">
        <v>1009</v>
      </c>
      <c r="BJ109" s="31"/>
      <c r="BK109" s="30">
        <v>3</v>
      </c>
    </row>
    <row x14ac:dyDescent="0.25" r="110" customHeight="1" ht="31.5">
      <c r="A110" s="156" t="s">
        <v>1010</v>
      </c>
      <c r="B110" s="157" t="s">
        <v>1011</v>
      </c>
      <c r="C110" s="158" t="s">
        <v>1012</v>
      </c>
      <c r="D110" s="158" t="s">
        <v>1013</v>
      </c>
      <c r="E110" s="157"/>
      <c r="F110" s="157" t="s">
        <v>226</v>
      </c>
      <c r="G110" s="158" t="s">
        <v>227</v>
      </c>
      <c r="H110" s="158" t="s">
        <v>1014</v>
      </c>
      <c r="I110" s="159" t="s">
        <v>386</v>
      </c>
      <c r="J110" s="159" t="s">
        <v>386</v>
      </c>
      <c r="K110" s="157"/>
      <c r="L110" s="157"/>
      <c r="M110" s="157" t="s">
        <v>231</v>
      </c>
      <c r="N110" s="157" t="s">
        <v>250</v>
      </c>
      <c r="O110" s="160"/>
      <c r="P110" s="157"/>
      <c r="Q110" s="161" t="s">
        <v>233</v>
      </c>
      <c r="R110" s="158"/>
      <c r="S110" s="158"/>
      <c r="T110" s="158" t="s">
        <v>1015</v>
      </c>
      <c r="U110" s="158" t="s">
        <v>1016</v>
      </c>
      <c r="V110" s="157"/>
      <c r="W110" s="162">
        <v>1</v>
      </c>
      <c r="X110" s="158" t="s">
        <v>235</v>
      </c>
      <c r="Y110" s="157" t="s">
        <v>256</v>
      </c>
      <c r="Z110" s="163">
        <v>0</v>
      </c>
      <c r="AA110" s="158"/>
      <c r="AB110" s="158" t="s">
        <v>1017</v>
      </c>
      <c r="AC110" s="157" t="s">
        <v>52</v>
      </c>
      <c r="AD110" s="158" t="s">
        <v>238</v>
      </c>
      <c r="AE110" s="164" t="s">
        <v>1007</v>
      </c>
      <c r="AF110" s="158" t="s">
        <v>1018</v>
      </c>
      <c r="AG110" s="158"/>
      <c r="AH110" s="158"/>
      <c r="AI110" s="158"/>
      <c r="AJ110" s="158" t="s">
        <v>241</v>
      </c>
      <c r="AK110" s="158" t="s">
        <v>238</v>
      </c>
      <c r="AL110" s="158"/>
      <c r="AM110" s="158"/>
      <c r="AN110" s="158"/>
      <c r="AO110" s="158"/>
      <c r="AP110" s="158"/>
      <c r="AQ110" s="158"/>
      <c r="AR110" s="158"/>
      <c r="AS110" s="156"/>
      <c r="AT110" s="165"/>
      <c r="AU110" s="165">
        <v>12</v>
      </c>
      <c r="AV110" s="165"/>
      <c r="AW110" s="165"/>
      <c r="AX110" s="165"/>
      <c r="AY110" s="166"/>
      <c r="AZ110" s="166"/>
      <c r="BA110" s="166"/>
      <c r="BB110" s="161"/>
      <c r="BC110" s="165"/>
      <c r="BD110" s="165"/>
      <c r="BE110" s="157"/>
      <c r="BF110" s="157"/>
      <c r="BG110" s="158" t="s">
        <v>1019</v>
      </c>
      <c r="BH110" s="158"/>
      <c r="BI110" s="158" t="s">
        <v>1019</v>
      </c>
      <c r="BJ110" s="158"/>
      <c r="BK110" s="156">
        <v>1</v>
      </c>
    </row>
    <row x14ac:dyDescent="0.25" r="111" customHeight="1" ht="31.5">
      <c r="A111" s="30" t="s">
        <v>1020</v>
      </c>
      <c r="B111" s="5" t="s">
        <v>386</v>
      </c>
      <c r="C111" s="31" t="s">
        <v>1021</v>
      </c>
      <c r="D111" s="31" t="s">
        <v>1021</v>
      </c>
      <c r="E111" s="5"/>
      <c r="F111" s="5" t="s">
        <v>577</v>
      </c>
      <c r="G111" s="5" t="s">
        <v>386</v>
      </c>
      <c r="H111" s="31" t="s">
        <v>386</v>
      </c>
      <c r="I111" s="32"/>
      <c r="J111" s="32"/>
      <c r="K111" s="5"/>
      <c r="L111" s="5"/>
      <c r="M111" s="5" t="s">
        <v>820</v>
      </c>
      <c r="N111" s="5" t="s">
        <v>386</v>
      </c>
      <c r="O111" s="33" t="s">
        <v>780</v>
      </c>
      <c r="P111" s="5" t="s">
        <v>386</v>
      </c>
      <c r="Q111" s="1"/>
      <c r="R111" s="31" t="s">
        <v>1022</v>
      </c>
      <c r="S111" s="31" t="s">
        <v>1023</v>
      </c>
      <c r="T111" s="31"/>
      <c r="U111" s="31" t="s">
        <v>1024</v>
      </c>
      <c r="V111" s="5"/>
      <c r="W111" s="34">
        <v>0</v>
      </c>
      <c r="X111" s="31" t="s">
        <v>386</v>
      </c>
      <c r="Y111" s="5" t="s">
        <v>386</v>
      </c>
      <c r="Z111" s="20" t="s">
        <v>386</v>
      </c>
      <c r="AA111" s="31" t="s">
        <v>1025</v>
      </c>
      <c r="AB111" s="31"/>
      <c r="AC111" s="5" t="s">
        <v>38</v>
      </c>
      <c r="AD111" s="31"/>
      <c r="AE111" s="36"/>
      <c r="AF111" s="31"/>
      <c r="AG111" s="31"/>
      <c r="AH111" s="31"/>
      <c r="AI111" s="31"/>
      <c r="AJ111" s="31"/>
      <c r="AK111" s="31"/>
      <c r="AL111" s="31"/>
      <c r="AM111" s="31"/>
      <c r="AN111" s="31"/>
      <c r="AO111" s="31"/>
      <c r="AP111" s="31"/>
      <c r="AQ111" s="31"/>
      <c r="AR111" s="31" t="s">
        <v>243</v>
      </c>
      <c r="AS111" s="30"/>
      <c r="AT111" s="37">
        <v>3</v>
      </c>
      <c r="AU111" s="37"/>
      <c r="AV111" s="37"/>
      <c r="AW111" s="37"/>
      <c r="AX111" s="37"/>
      <c r="AY111" s="38"/>
      <c r="AZ111" s="34">
        <v>3</v>
      </c>
      <c r="BA111" s="38"/>
      <c r="BB111" s="46"/>
      <c r="BC111" s="37"/>
      <c r="BD111" s="37"/>
      <c r="BE111" s="5"/>
      <c r="BF111" s="5"/>
      <c r="BG111" s="31" t="s">
        <v>1024</v>
      </c>
      <c r="BH111" s="31"/>
      <c r="BI111" s="31" t="s">
        <v>1024</v>
      </c>
      <c r="BJ111" s="31"/>
      <c r="BK111" s="30">
        <v>1</v>
      </c>
    </row>
    <row x14ac:dyDescent="0.25" r="112" customHeight="1" ht="31.5">
      <c r="A112" s="30">
        <v>30003</v>
      </c>
      <c r="B112" s="5" t="s">
        <v>1026</v>
      </c>
      <c r="C112" s="31" t="s">
        <v>1027</v>
      </c>
      <c r="D112" s="31" t="s">
        <v>1028</v>
      </c>
      <c r="E112" s="5" t="s">
        <v>529</v>
      </c>
      <c r="F112" s="5" t="s">
        <v>1029</v>
      </c>
      <c r="G112" s="5" t="s">
        <v>1030</v>
      </c>
      <c r="H112" s="31" t="s">
        <v>1031</v>
      </c>
      <c r="I112" s="32"/>
      <c r="J112" s="32"/>
      <c r="K112" s="5" t="s">
        <v>1032</v>
      </c>
      <c r="L112" s="5"/>
      <c r="M112" s="5" t="s">
        <v>820</v>
      </c>
      <c r="N112" s="5" t="s">
        <v>1024</v>
      </c>
      <c r="O112" s="33"/>
      <c r="P112" s="5"/>
      <c r="Q112" s="1" t="s">
        <v>251</v>
      </c>
      <c r="R112" s="31" t="s">
        <v>252</v>
      </c>
      <c r="S112" s="31"/>
      <c r="T112" s="31"/>
      <c r="U112" s="31" t="s">
        <v>1033</v>
      </c>
      <c r="V112" s="5"/>
      <c r="W112" s="40">
        <v>1</v>
      </c>
      <c r="X112" s="41" t="s">
        <v>820</v>
      </c>
      <c r="Y112" s="42"/>
      <c r="Z112" s="35">
        <v>1</v>
      </c>
      <c r="AA112" s="31" t="s">
        <v>1034</v>
      </c>
      <c r="AB112" s="31" t="s">
        <v>1035</v>
      </c>
      <c r="AC112" s="5" t="s">
        <v>76</v>
      </c>
      <c r="AD112" s="31" t="s">
        <v>259</v>
      </c>
      <c r="AE112" s="36" t="s">
        <v>1036</v>
      </c>
      <c r="AF112" s="31" t="s">
        <v>1037</v>
      </c>
      <c r="AG112" s="31"/>
      <c r="AH112" s="31"/>
      <c r="AI112" s="31" t="s">
        <v>1038</v>
      </c>
      <c r="AJ112" s="5" t="s">
        <v>262</v>
      </c>
      <c r="AK112" s="5" t="s">
        <v>259</v>
      </c>
      <c r="AL112" s="31"/>
      <c r="AM112" s="31"/>
      <c r="AN112" s="31" t="s">
        <v>1039</v>
      </c>
      <c r="AO112" s="31" t="s">
        <v>259</v>
      </c>
      <c r="AP112" s="31" t="s">
        <v>1040</v>
      </c>
      <c r="AQ112" s="31"/>
      <c r="AR112" s="31" t="s">
        <v>263</v>
      </c>
      <c r="AS112" s="30"/>
      <c r="AT112" s="37">
        <v>4</v>
      </c>
      <c r="AU112" s="37"/>
      <c r="AV112" s="37"/>
      <c r="AW112" s="37"/>
      <c r="AX112" s="37"/>
      <c r="AY112" s="38"/>
      <c r="AZ112" s="34">
        <v>4</v>
      </c>
      <c r="BA112" s="38"/>
      <c r="BB112" s="46" t="s">
        <v>529</v>
      </c>
      <c r="BC112" s="37">
        <v>94</v>
      </c>
      <c r="BD112" s="37"/>
      <c r="BE112" s="5"/>
      <c r="BF112" s="5"/>
      <c r="BG112" s="47" t="s">
        <v>1027</v>
      </c>
      <c r="BH112" s="47" t="s">
        <v>1041</v>
      </c>
      <c r="BI112" s="47" t="s">
        <v>1042</v>
      </c>
      <c r="BJ112" s="60"/>
      <c r="BK112" s="49">
        <v>1</v>
      </c>
    </row>
    <row x14ac:dyDescent="0.25" r="113" customHeight="1" ht="31.5">
      <c r="A113" s="30">
        <v>30002</v>
      </c>
      <c r="B113" s="5" t="s">
        <v>1043</v>
      </c>
      <c r="C113" s="31" t="s">
        <v>1044</v>
      </c>
      <c r="D113" s="31" t="s">
        <v>1045</v>
      </c>
      <c r="E113" s="5" t="s">
        <v>529</v>
      </c>
      <c r="F113" s="5" t="s">
        <v>637</v>
      </c>
      <c r="G113" s="5" t="s">
        <v>1030</v>
      </c>
      <c r="H113" s="107" t="s">
        <v>1046</v>
      </c>
      <c r="I113" s="32"/>
      <c r="J113" s="32"/>
      <c r="K113" s="5"/>
      <c r="L113" s="5"/>
      <c r="M113" s="5" t="s">
        <v>820</v>
      </c>
      <c r="N113" s="5" t="s">
        <v>1024</v>
      </c>
      <c r="O113" s="33"/>
      <c r="P113" s="5"/>
      <c r="Q113" s="1" t="s">
        <v>251</v>
      </c>
      <c r="R113" s="31" t="s">
        <v>252</v>
      </c>
      <c r="S113" s="31"/>
      <c r="T113" s="31"/>
      <c r="U113" s="31" t="s">
        <v>1047</v>
      </c>
      <c r="V113" s="5"/>
      <c r="W113" s="40">
        <v>1</v>
      </c>
      <c r="X113" s="41" t="s">
        <v>820</v>
      </c>
      <c r="Y113" s="42"/>
      <c r="Z113" s="35">
        <v>1</v>
      </c>
      <c r="AA113" s="31" t="s">
        <v>1048</v>
      </c>
      <c r="AB113" s="31" t="s">
        <v>1049</v>
      </c>
      <c r="AC113" s="5" t="s">
        <v>24</v>
      </c>
      <c r="AD113" s="31" t="s">
        <v>259</v>
      </c>
      <c r="AE113" s="36" t="s">
        <v>1036</v>
      </c>
      <c r="AF113" s="31" t="s">
        <v>1049</v>
      </c>
      <c r="AG113" s="31"/>
      <c r="AH113" s="31"/>
      <c r="AI113" s="31" t="s">
        <v>1038</v>
      </c>
      <c r="AJ113" s="5" t="s">
        <v>262</v>
      </c>
      <c r="AK113" s="5" t="s">
        <v>259</v>
      </c>
      <c r="AL113" s="31"/>
      <c r="AM113" s="31"/>
      <c r="AN113" s="31"/>
      <c r="AO113" s="31"/>
      <c r="AP113" s="31"/>
      <c r="AQ113" s="31"/>
      <c r="AR113" s="31"/>
      <c r="AS113" s="30"/>
      <c r="AT113" s="37">
        <v>5</v>
      </c>
      <c r="AU113" s="37"/>
      <c r="AV113" s="37"/>
      <c r="AW113" s="37"/>
      <c r="AX113" s="37"/>
      <c r="AY113" s="38"/>
      <c r="AZ113" s="34">
        <v>5</v>
      </c>
      <c r="BA113" s="38"/>
      <c r="BB113" s="46" t="s">
        <v>529</v>
      </c>
      <c r="BC113" s="37"/>
      <c r="BD113" s="37"/>
      <c r="BE113" s="5"/>
      <c r="BF113" s="5"/>
      <c r="BG113" s="31" t="s">
        <v>1047</v>
      </c>
      <c r="BH113" s="31"/>
      <c r="BI113" s="31" t="s">
        <v>1047</v>
      </c>
      <c r="BJ113" s="48"/>
      <c r="BK113" s="30">
        <v>1</v>
      </c>
    </row>
    <row x14ac:dyDescent="0.25" r="114" customHeight="1" ht="31.5">
      <c r="A114" s="30">
        <v>30001</v>
      </c>
      <c r="B114" s="5" t="s">
        <v>1050</v>
      </c>
      <c r="C114" s="31" t="s">
        <v>1051</v>
      </c>
      <c r="D114" s="31" t="s">
        <v>1052</v>
      </c>
      <c r="E114" s="5"/>
      <c r="F114" s="5" t="s">
        <v>637</v>
      </c>
      <c r="G114" s="5" t="s">
        <v>1030</v>
      </c>
      <c r="H114" s="31" t="s">
        <v>1053</v>
      </c>
      <c r="I114" s="32"/>
      <c r="J114" s="32"/>
      <c r="K114" s="5"/>
      <c r="L114" s="5"/>
      <c r="M114" s="5" t="s">
        <v>820</v>
      </c>
      <c r="N114" s="5" t="s">
        <v>1024</v>
      </c>
      <c r="O114" s="33"/>
      <c r="P114" s="5"/>
      <c r="Q114" s="1" t="s">
        <v>251</v>
      </c>
      <c r="R114" s="31" t="s">
        <v>286</v>
      </c>
      <c r="S114" s="31"/>
      <c r="T114" s="31"/>
      <c r="U114" s="31" t="s">
        <v>1051</v>
      </c>
      <c r="V114" s="5"/>
      <c r="W114" s="34">
        <v>0</v>
      </c>
      <c r="X114" s="31" t="s">
        <v>386</v>
      </c>
      <c r="Y114" s="5"/>
      <c r="Z114" s="34">
        <v>0</v>
      </c>
      <c r="AA114" s="31" t="s">
        <v>1054</v>
      </c>
      <c r="AB114" s="31" t="s">
        <v>1055</v>
      </c>
      <c r="AC114" s="5" t="s">
        <v>24</v>
      </c>
      <c r="AD114" s="31" t="s">
        <v>259</v>
      </c>
      <c r="AE114" s="36" t="s">
        <v>1036</v>
      </c>
      <c r="AF114" s="31" t="s">
        <v>1055</v>
      </c>
      <c r="AG114" s="31"/>
      <c r="AH114" s="31"/>
      <c r="AI114" s="31" t="s">
        <v>1038</v>
      </c>
      <c r="AJ114" s="5" t="s">
        <v>262</v>
      </c>
      <c r="AK114" s="5" t="s">
        <v>259</v>
      </c>
      <c r="AL114" s="31"/>
      <c r="AM114" s="31"/>
      <c r="AN114" s="31"/>
      <c r="AO114" s="31"/>
      <c r="AP114" s="31"/>
      <c r="AQ114" s="31"/>
      <c r="AR114" s="31"/>
      <c r="AS114" s="30"/>
      <c r="AT114" s="37">
        <v>6</v>
      </c>
      <c r="AU114" s="37"/>
      <c r="AV114" s="37"/>
      <c r="AW114" s="37"/>
      <c r="AX114" s="37"/>
      <c r="AY114" s="38"/>
      <c r="AZ114" s="34">
        <v>6</v>
      </c>
      <c r="BA114" s="38"/>
      <c r="BB114" s="46"/>
      <c r="BC114" s="37"/>
      <c r="BD114" s="37"/>
      <c r="BE114" s="5"/>
      <c r="BF114" s="5"/>
      <c r="BG114" s="31" t="s">
        <v>1051</v>
      </c>
      <c r="BH114" s="31"/>
      <c r="BI114" s="31" t="s">
        <v>1051</v>
      </c>
      <c r="BJ114" s="48"/>
      <c r="BK114" s="49">
        <v>1</v>
      </c>
    </row>
    <row x14ac:dyDescent="0.25" r="115" customHeight="1" ht="31.5">
      <c r="A115" s="30">
        <v>30071</v>
      </c>
      <c r="B115" s="5" t="s">
        <v>1056</v>
      </c>
      <c r="C115" s="31" t="s">
        <v>1057</v>
      </c>
      <c r="D115" s="31" t="s">
        <v>1058</v>
      </c>
      <c r="E115" s="5"/>
      <c r="F115" s="5" t="s">
        <v>602</v>
      </c>
      <c r="G115" s="5" t="s">
        <v>589</v>
      </c>
      <c r="H115" s="31" t="s">
        <v>386</v>
      </c>
      <c r="I115" s="32"/>
      <c r="J115" s="32"/>
      <c r="K115" s="5"/>
      <c r="L115" s="5"/>
      <c r="M115" s="5" t="s">
        <v>820</v>
      </c>
      <c r="N115" s="5" t="s">
        <v>1059</v>
      </c>
      <c r="O115" s="33"/>
      <c r="P115" s="31"/>
      <c r="Q115" s="1" t="s">
        <v>251</v>
      </c>
      <c r="R115" s="31" t="s">
        <v>591</v>
      </c>
      <c r="S115" s="31"/>
      <c r="T115" s="31"/>
      <c r="U115" s="55" t="s">
        <v>1057</v>
      </c>
      <c r="V115" s="5"/>
      <c r="W115" s="40">
        <v>1</v>
      </c>
      <c r="X115" s="41" t="s">
        <v>594</v>
      </c>
      <c r="Y115" s="42"/>
      <c r="Z115" s="34">
        <v>0</v>
      </c>
      <c r="AA115" s="31"/>
      <c r="AB115" s="31" t="s">
        <v>1060</v>
      </c>
      <c r="AC115" s="5" t="s">
        <v>88</v>
      </c>
      <c r="AD115" s="31" t="s">
        <v>596</v>
      </c>
      <c r="AE115" s="36" t="s">
        <v>1061</v>
      </c>
      <c r="AF115" s="31" t="s">
        <v>1062</v>
      </c>
      <c r="AG115" s="31"/>
      <c r="AH115" s="5"/>
      <c r="AI115" s="5"/>
      <c r="AJ115" s="31" t="s">
        <v>605</v>
      </c>
      <c r="AK115" s="31" t="s">
        <v>596</v>
      </c>
      <c r="AL115" s="31" t="s">
        <v>1063</v>
      </c>
      <c r="AM115" s="31"/>
      <c r="AN115" s="31"/>
      <c r="AO115" s="31"/>
      <c r="AP115" s="31"/>
      <c r="AQ115" s="31"/>
      <c r="AR115" s="31"/>
      <c r="AS115" s="30"/>
      <c r="AT115" s="37"/>
      <c r="AU115" s="37"/>
      <c r="AV115" s="37"/>
      <c r="AW115" s="37"/>
      <c r="AX115" s="37"/>
      <c r="AY115" s="38"/>
      <c r="AZ115" s="34">
        <v>7</v>
      </c>
      <c r="BA115" s="38"/>
      <c r="BB115" s="46"/>
      <c r="BC115" s="37"/>
      <c r="BD115" s="37"/>
      <c r="BE115" s="5"/>
      <c r="BF115" s="167" t="s">
        <v>1056</v>
      </c>
      <c r="BG115" s="59" t="s">
        <v>1064</v>
      </c>
      <c r="BH115" s="47"/>
      <c r="BI115" s="31" t="s">
        <v>1064</v>
      </c>
      <c r="BJ115" s="48"/>
      <c r="BK115" s="30">
        <v>1</v>
      </c>
    </row>
    <row x14ac:dyDescent="0.25" r="116" customHeight="1" ht="31.5">
      <c r="A116" s="30">
        <v>30070</v>
      </c>
      <c r="B116" s="5" t="s">
        <v>1065</v>
      </c>
      <c r="C116" s="31" t="s">
        <v>1066</v>
      </c>
      <c r="D116" s="31" t="s">
        <v>1067</v>
      </c>
      <c r="E116" s="5"/>
      <c r="F116" s="5" t="s">
        <v>703</v>
      </c>
      <c r="G116" s="5" t="s">
        <v>589</v>
      </c>
      <c r="H116" s="31" t="s">
        <v>386</v>
      </c>
      <c r="I116" s="32"/>
      <c r="J116" s="32"/>
      <c r="K116" s="5"/>
      <c r="L116" s="5"/>
      <c r="M116" s="5" t="s">
        <v>820</v>
      </c>
      <c r="N116" s="5" t="s">
        <v>1059</v>
      </c>
      <c r="O116" s="33"/>
      <c r="P116" s="31"/>
      <c r="Q116" s="1" t="s">
        <v>251</v>
      </c>
      <c r="R116" s="31" t="s">
        <v>591</v>
      </c>
      <c r="S116" s="31"/>
      <c r="T116" s="31"/>
      <c r="U116" s="55" t="s">
        <v>1066</v>
      </c>
      <c r="V116" s="5"/>
      <c r="W116" s="40">
        <v>1</v>
      </c>
      <c r="X116" s="41" t="s">
        <v>594</v>
      </c>
      <c r="Y116" s="42"/>
      <c r="Z116" s="38" t="s">
        <v>1068</v>
      </c>
      <c r="AA116" s="31"/>
      <c r="AB116" s="31" t="s">
        <v>1069</v>
      </c>
      <c r="AC116" s="5" t="s">
        <v>24</v>
      </c>
      <c r="AD116" s="31" t="s">
        <v>596</v>
      </c>
      <c r="AE116" s="36" t="s">
        <v>1061</v>
      </c>
      <c r="AF116" s="31" t="s">
        <v>649</v>
      </c>
      <c r="AG116" s="31"/>
      <c r="AH116" s="5"/>
      <c r="AI116" s="5"/>
      <c r="AJ116" s="31" t="s">
        <v>605</v>
      </c>
      <c r="AK116" s="31" t="s">
        <v>596</v>
      </c>
      <c r="AL116" s="31" t="s">
        <v>1063</v>
      </c>
      <c r="AM116" s="31"/>
      <c r="AN116" s="31"/>
      <c r="AO116" s="31"/>
      <c r="AP116" s="31"/>
      <c r="AQ116" s="31"/>
      <c r="AR116" s="31"/>
      <c r="AS116" s="30"/>
      <c r="AT116" s="37"/>
      <c r="AU116" s="37"/>
      <c r="AV116" s="37"/>
      <c r="AW116" s="37"/>
      <c r="AX116" s="37"/>
      <c r="AY116" s="38"/>
      <c r="AZ116" s="34">
        <v>8</v>
      </c>
      <c r="BA116" s="38"/>
      <c r="BB116" s="46"/>
      <c r="BC116" s="37"/>
      <c r="BD116" s="37"/>
      <c r="BE116" s="5"/>
      <c r="BF116" s="167" t="s">
        <v>1065</v>
      </c>
      <c r="BG116" s="59" t="s">
        <v>1070</v>
      </c>
      <c r="BH116" s="47"/>
      <c r="BI116" s="31" t="s">
        <v>1070</v>
      </c>
      <c r="BJ116" s="48"/>
      <c r="BK116" s="49">
        <v>1</v>
      </c>
    </row>
    <row x14ac:dyDescent="0.25" r="117" customHeight="1" ht="31.5">
      <c r="A117" s="30" t="s">
        <v>1071</v>
      </c>
      <c r="B117" s="5" t="s">
        <v>1072</v>
      </c>
      <c r="C117" s="31" t="s">
        <v>1073</v>
      </c>
      <c r="D117" s="31" t="s">
        <v>1074</v>
      </c>
      <c r="E117" s="5"/>
      <c r="F117" s="5" t="s">
        <v>703</v>
      </c>
      <c r="G117" s="5" t="s">
        <v>589</v>
      </c>
      <c r="H117" s="31" t="s">
        <v>386</v>
      </c>
      <c r="I117" s="32"/>
      <c r="J117" s="32"/>
      <c r="K117" s="5"/>
      <c r="L117" s="5"/>
      <c r="M117" s="5" t="s">
        <v>820</v>
      </c>
      <c r="N117" s="5" t="s">
        <v>726</v>
      </c>
      <c r="O117" s="33" t="s">
        <v>1075</v>
      </c>
      <c r="P117" s="31" t="s">
        <v>1076</v>
      </c>
      <c r="Q117" s="1" t="s">
        <v>233</v>
      </c>
      <c r="R117" s="31" t="s">
        <v>755</v>
      </c>
      <c r="S117" s="31" t="s">
        <v>1077</v>
      </c>
      <c r="T117" s="31"/>
      <c r="U117" s="55" t="s">
        <v>1073</v>
      </c>
      <c r="V117" s="5"/>
      <c r="W117" s="40">
        <v>1</v>
      </c>
      <c r="X117" s="55" t="s">
        <v>820</v>
      </c>
      <c r="Y117" s="42"/>
      <c r="Z117" s="34">
        <v>1</v>
      </c>
      <c r="AA117" s="31"/>
      <c r="AB117" s="31" t="s">
        <v>1078</v>
      </c>
      <c r="AC117" s="5" t="s">
        <v>76</v>
      </c>
      <c r="AD117" s="31" t="s">
        <v>259</v>
      </c>
      <c r="AE117" s="36" t="s">
        <v>1036</v>
      </c>
      <c r="AF117" s="31" t="s">
        <v>1079</v>
      </c>
      <c r="AG117" s="31"/>
      <c r="AH117" s="31"/>
      <c r="AI117" s="31"/>
      <c r="AJ117" s="31" t="s">
        <v>262</v>
      </c>
      <c r="AK117" s="31" t="s">
        <v>259</v>
      </c>
      <c r="AL117" s="31"/>
      <c r="AM117" s="31"/>
      <c r="AN117" s="31" t="s">
        <v>1080</v>
      </c>
      <c r="AO117" s="31" t="s">
        <v>259</v>
      </c>
      <c r="AP117" s="31" t="s">
        <v>1078</v>
      </c>
      <c r="AQ117" s="31"/>
      <c r="AR117" s="31"/>
      <c r="AS117" s="30"/>
      <c r="AT117" s="37"/>
      <c r="AU117" s="37"/>
      <c r="AV117" s="37"/>
      <c r="AW117" s="37"/>
      <c r="AX117" s="37"/>
      <c r="AY117" s="38"/>
      <c r="AZ117" s="34">
        <v>9</v>
      </c>
      <c r="BA117" s="38"/>
      <c r="BB117" s="46"/>
      <c r="BC117" s="37"/>
      <c r="BD117" s="37"/>
      <c r="BE117" s="5"/>
      <c r="BF117" s="167" t="s">
        <v>1072</v>
      </c>
      <c r="BG117" s="59" t="s">
        <v>1081</v>
      </c>
      <c r="BH117" s="47"/>
      <c r="BI117" s="31" t="s">
        <v>1081</v>
      </c>
      <c r="BJ117" s="48"/>
      <c r="BK117" s="30">
        <v>1</v>
      </c>
    </row>
    <row x14ac:dyDescent="0.25" r="118" customHeight="1" ht="48">
      <c r="A118" s="30">
        <v>31050</v>
      </c>
      <c r="B118" s="5" t="s">
        <v>1082</v>
      </c>
      <c r="C118" s="31" t="s">
        <v>1083</v>
      </c>
      <c r="D118" s="31" t="s">
        <v>1084</v>
      </c>
      <c r="E118" s="5"/>
      <c r="F118" s="5" t="s">
        <v>226</v>
      </c>
      <c r="G118" s="5" t="s">
        <v>589</v>
      </c>
      <c r="H118" s="31" t="s">
        <v>386</v>
      </c>
      <c r="I118" s="32"/>
      <c r="J118" s="32"/>
      <c r="K118" s="5"/>
      <c r="L118" s="5"/>
      <c r="M118" s="5" t="s">
        <v>820</v>
      </c>
      <c r="N118" s="5" t="s">
        <v>726</v>
      </c>
      <c r="O118" s="33"/>
      <c r="P118" s="31" t="s">
        <v>1085</v>
      </c>
      <c r="Q118" s="1" t="s">
        <v>824</v>
      </c>
      <c r="R118" s="31" t="s">
        <v>729</v>
      </c>
      <c r="S118" s="31" t="s">
        <v>1086</v>
      </c>
      <c r="T118" s="31"/>
      <c r="U118" s="31" t="s">
        <v>1087</v>
      </c>
      <c r="V118" s="5"/>
      <c r="W118" s="34">
        <v>1</v>
      </c>
      <c r="X118" s="31" t="s">
        <v>594</v>
      </c>
      <c r="Y118" s="5" t="s">
        <v>256</v>
      </c>
      <c r="Z118" s="34">
        <v>0</v>
      </c>
      <c r="AA118" s="31"/>
      <c r="AB118" s="31" t="s">
        <v>1088</v>
      </c>
      <c r="AC118" s="5" t="s">
        <v>52</v>
      </c>
      <c r="AD118" s="31" t="s">
        <v>596</v>
      </c>
      <c r="AE118" s="36" t="s">
        <v>1089</v>
      </c>
      <c r="AF118" s="31" t="s">
        <v>1090</v>
      </c>
      <c r="AG118" s="31"/>
      <c r="AH118" s="31"/>
      <c r="AI118" s="31"/>
      <c r="AJ118" s="31"/>
      <c r="AK118" s="31"/>
      <c r="AL118" s="31"/>
      <c r="AM118" s="31"/>
      <c r="AN118" s="31"/>
      <c r="AO118" s="31"/>
      <c r="AP118" s="31"/>
      <c r="AQ118" s="31"/>
      <c r="AR118" s="31"/>
      <c r="AS118" s="30"/>
      <c r="AT118" s="37"/>
      <c r="AU118" s="37"/>
      <c r="AV118" s="37"/>
      <c r="AW118" s="37"/>
      <c r="AX118" s="37"/>
      <c r="AY118" s="94"/>
      <c r="AZ118" s="34">
        <v>10</v>
      </c>
      <c r="BA118" s="38"/>
      <c r="BB118" s="46"/>
      <c r="BC118" s="37"/>
      <c r="BD118" s="37"/>
      <c r="BE118" s="5"/>
      <c r="BF118" s="167" t="s">
        <v>1091</v>
      </c>
      <c r="BG118" s="31" t="s">
        <v>1092</v>
      </c>
      <c r="BH118" s="31"/>
      <c r="BI118" s="31" t="s">
        <v>1092</v>
      </c>
      <c r="BJ118" s="48"/>
      <c r="BK118" s="49">
        <v>1</v>
      </c>
    </row>
    <row x14ac:dyDescent="0.25" r="119" customHeight="1" ht="31.5">
      <c r="A119" s="30" t="s">
        <v>386</v>
      </c>
      <c r="B119" s="5" t="s">
        <v>386</v>
      </c>
      <c r="C119" s="31" t="s">
        <v>386</v>
      </c>
      <c r="D119" s="31" t="s">
        <v>1093</v>
      </c>
      <c r="E119" s="5"/>
      <c r="F119" s="5" t="s">
        <v>226</v>
      </c>
      <c r="G119" s="5" t="s">
        <v>589</v>
      </c>
      <c r="H119" s="31" t="s">
        <v>386</v>
      </c>
      <c r="I119" s="32"/>
      <c r="J119" s="32"/>
      <c r="K119" s="5"/>
      <c r="L119" s="5"/>
      <c r="M119" s="5" t="s">
        <v>820</v>
      </c>
      <c r="N119" s="5" t="s">
        <v>726</v>
      </c>
      <c r="O119" s="33"/>
      <c r="P119" s="31"/>
      <c r="Q119" s="1" t="s">
        <v>824</v>
      </c>
      <c r="R119" s="31" t="s">
        <v>729</v>
      </c>
      <c r="S119" s="31" t="s">
        <v>1086</v>
      </c>
      <c r="T119" s="31"/>
      <c r="U119" s="31" t="s">
        <v>1087</v>
      </c>
      <c r="V119" s="5"/>
      <c r="W119" s="34">
        <v>1</v>
      </c>
      <c r="X119" s="31" t="s">
        <v>594</v>
      </c>
      <c r="Y119" s="5" t="s">
        <v>256</v>
      </c>
      <c r="Z119" s="34">
        <v>0</v>
      </c>
      <c r="AA119" s="31"/>
      <c r="AB119" s="31" t="s">
        <v>1094</v>
      </c>
      <c r="AC119" s="5" t="s">
        <v>52</v>
      </c>
      <c r="AD119" s="31" t="s">
        <v>596</v>
      </c>
      <c r="AE119" s="36" t="s">
        <v>1089</v>
      </c>
      <c r="AF119" s="31" t="s">
        <v>1095</v>
      </c>
      <c r="AG119" s="31"/>
      <c r="AH119" s="31"/>
      <c r="AI119" s="31"/>
      <c r="AJ119" s="31"/>
      <c r="AK119" s="31"/>
      <c r="AL119" s="31"/>
      <c r="AM119" s="31"/>
      <c r="AN119" s="31"/>
      <c r="AO119" s="31"/>
      <c r="AP119" s="31"/>
      <c r="AQ119" s="31"/>
      <c r="AR119" s="31"/>
      <c r="AS119" s="30"/>
      <c r="AT119" s="37"/>
      <c r="AU119" s="37"/>
      <c r="AV119" s="37"/>
      <c r="AW119" s="37"/>
      <c r="AX119" s="37"/>
      <c r="AY119" s="38"/>
      <c r="AZ119" s="38"/>
      <c r="BA119" s="38"/>
      <c r="BB119" s="1"/>
      <c r="BC119" s="37"/>
      <c r="BD119" s="37"/>
      <c r="BE119" s="5"/>
      <c r="BF119" s="167" t="s">
        <v>1091</v>
      </c>
      <c r="BG119" s="31" t="s">
        <v>1092</v>
      </c>
      <c r="BH119" s="31"/>
      <c r="BI119" s="31" t="s">
        <v>1092</v>
      </c>
      <c r="BJ119" s="31"/>
      <c r="BK119" s="30">
        <v>1</v>
      </c>
    </row>
    <row x14ac:dyDescent="0.25" r="120" customHeight="1" ht="43.5">
      <c r="A120" s="30">
        <v>31051</v>
      </c>
      <c r="B120" s="5" t="s">
        <v>1096</v>
      </c>
      <c r="C120" s="31" t="s">
        <v>1097</v>
      </c>
      <c r="D120" s="31" t="s">
        <v>1098</v>
      </c>
      <c r="E120" s="5"/>
      <c r="F120" s="5" t="s">
        <v>577</v>
      </c>
      <c r="G120" s="5" t="s">
        <v>589</v>
      </c>
      <c r="H120" s="31" t="s">
        <v>386</v>
      </c>
      <c r="I120" s="32"/>
      <c r="J120" s="32"/>
      <c r="K120" s="5"/>
      <c r="L120" s="5"/>
      <c r="M120" s="5" t="s">
        <v>820</v>
      </c>
      <c r="N120" s="5" t="s">
        <v>726</v>
      </c>
      <c r="O120" s="33"/>
      <c r="P120" s="31" t="s">
        <v>1099</v>
      </c>
      <c r="Q120" s="1" t="s">
        <v>824</v>
      </c>
      <c r="R120" s="31" t="s">
        <v>729</v>
      </c>
      <c r="S120" s="31" t="s">
        <v>1086</v>
      </c>
      <c r="T120" s="31"/>
      <c r="U120" s="55" t="s">
        <v>1100</v>
      </c>
      <c r="V120" s="5"/>
      <c r="W120" s="40">
        <v>1</v>
      </c>
      <c r="X120" s="41" t="s">
        <v>594</v>
      </c>
      <c r="Y120" s="42" t="s">
        <v>1101</v>
      </c>
      <c r="Z120" s="34">
        <v>0</v>
      </c>
      <c r="AA120" s="31"/>
      <c r="AB120" s="31" t="s">
        <v>1102</v>
      </c>
      <c r="AC120" s="5" t="s">
        <v>38</v>
      </c>
      <c r="AD120" s="31" t="s">
        <v>596</v>
      </c>
      <c r="AE120" s="36" t="s">
        <v>1089</v>
      </c>
      <c r="AF120" s="31" t="s">
        <v>1103</v>
      </c>
      <c r="AG120" s="31"/>
      <c r="AH120" s="31" t="s">
        <v>27</v>
      </c>
      <c r="AI120" s="31"/>
      <c r="AJ120" s="31"/>
      <c r="AK120" s="31"/>
      <c r="AL120" s="31"/>
      <c r="AM120" s="31"/>
      <c r="AN120" s="31"/>
      <c r="AO120" s="31"/>
      <c r="AP120" s="31"/>
      <c r="AQ120" s="31"/>
      <c r="AR120" s="31"/>
      <c r="AS120" s="30"/>
      <c r="AT120" s="37"/>
      <c r="AU120" s="37"/>
      <c r="AV120" s="37"/>
      <c r="AW120" s="37"/>
      <c r="AX120" s="37"/>
      <c r="AY120" s="94"/>
      <c r="AZ120" s="34">
        <v>11</v>
      </c>
      <c r="BA120" s="38"/>
      <c r="BB120" s="46"/>
      <c r="BC120" s="37"/>
      <c r="BD120" s="37"/>
      <c r="BE120" s="5"/>
      <c r="BF120" s="167" t="s">
        <v>1096</v>
      </c>
      <c r="BG120" s="55" t="s">
        <v>1104</v>
      </c>
      <c r="BH120" s="31"/>
      <c r="BI120" s="31" t="s">
        <v>1104</v>
      </c>
      <c r="BJ120" s="48"/>
      <c r="BK120" s="49">
        <v>1</v>
      </c>
    </row>
    <row x14ac:dyDescent="0.25" r="121" customHeight="1" ht="31.5">
      <c r="A121" s="168" t="s">
        <v>1105</v>
      </c>
      <c r="B121" s="169" t="s">
        <v>1106</v>
      </c>
      <c r="C121" s="36" t="s">
        <v>1107</v>
      </c>
      <c r="D121" s="36" t="s">
        <v>1108</v>
      </c>
      <c r="E121" s="169"/>
      <c r="F121" s="169" t="s">
        <v>577</v>
      </c>
      <c r="G121" s="169" t="s">
        <v>589</v>
      </c>
      <c r="H121" s="36" t="s">
        <v>386</v>
      </c>
      <c r="I121" s="36"/>
      <c r="J121" s="36"/>
      <c r="K121" s="169"/>
      <c r="L121" s="169"/>
      <c r="M121" s="169" t="s">
        <v>820</v>
      </c>
      <c r="N121" s="169" t="s">
        <v>821</v>
      </c>
      <c r="O121" s="33" t="s">
        <v>1109</v>
      </c>
      <c r="P121" s="36"/>
      <c r="Q121" s="170" t="s">
        <v>251</v>
      </c>
      <c r="R121" s="36" t="s">
        <v>591</v>
      </c>
      <c r="S121" s="36" t="s">
        <v>1110</v>
      </c>
      <c r="T121" s="36"/>
      <c r="U121" s="171" t="s">
        <v>1111</v>
      </c>
      <c r="V121" s="169"/>
      <c r="W121" s="172">
        <v>1</v>
      </c>
      <c r="X121" s="139" t="s">
        <v>594</v>
      </c>
      <c r="Y121" s="173" t="s">
        <v>1112</v>
      </c>
      <c r="Z121" s="174">
        <v>0</v>
      </c>
      <c r="AA121" s="36"/>
      <c r="AB121" s="36" t="s">
        <v>1113</v>
      </c>
      <c r="AC121" s="169" t="s">
        <v>38</v>
      </c>
      <c r="AD121" s="36" t="s">
        <v>596</v>
      </c>
      <c r="AE121" s="36" t="s">
        <v>1114</v>
      </c>
      <c r="AF121" s="36" t="s">
        <v>292</v>
      </c>
      <c r="AG121" s="36" t="s">
        <v>19</v>
      </c>
      <c r="AH121" s="31" t="s">
        <v>27</v>
      </c>
      <c r="AI121" s="36"/>
      <c r="AJ121" s="36" t="s">
        <v>605</v>
      </c>
      <c r="AK121" s="36" t="s">
        <v>596</v>
      </c>
      <c r="AL121" s="36" t="s">
        <v>1063</v>
      </c>
      <c r="AM121" s="36"/>
      <c r="AN121" s="36"/>
      <c r="AO121" s="36"/>
      <c r="AP121" s="36"/>
      <c r="AQ121" s="36"/>
      <c r="AR121" s="36"/>
      <c r="AS121" s="168"/>
      <c r="AT121" s="175"/>
      <c r="AU121" s="175"/>
      <c r="AV121" s="175"/>
      <c r="AW121" s="175"/>
      <c r="AX121" s="175"/>
      <c r="AY121" s="176"/>
      <c r="AZ121" s="174">
        <v>12</v>
      </c>
      <c r="BA121" s="176"/>
      <c r="BB121" s="177"/>
      <c r="BC121" s="175"/>
      <c r="BD121" s="175"/>
      <c r="BE121" s="169"/>
      <c r="BF121" s="169" t="s">
        <v>1106</v>
      </c>
      <c r="BG121" s="31" t="s">
        <v>1107</v>
      </c>
      <c r="BH121" s="31" t="s">
        <v>1107</v>
      </c>
      <c r="BI121" s="31" t="s">
        <v>1107</v>
      </c>
      <c r="BJ121" s="48"/>
      <c r="BK121" s="30">
        <v>1</v>
      </c>
    </row>
    <row x14ac:dyDescent="0.25" r="122" customHeight="1" ht="31.5">
      <c r="A122" s="168" t="s">
        <v>1115</v>
      </c>
      <c r="B122" s="169" t="s">
        <v>1116</v>
      </c>
      <c r="C122" s="36" t="s">
        <v>1117</v>
      </c>
      <c r="D122" s="36" t="s">
        <v>1118</v>
      </c>
      <c r="E122" s="169"/>
      <c r="F122" s="169" t="s">
        <v>577</v>
      </c>
      <c r="G122" s="169" t="s">
        <v>589</v>
      </c>
      <c r="H122" s="36" t="s">
        <v>386</v>
      </c>
      <c r="I122" s="36"/>
      <c r="J122" s="36"/>
      <c r="K122" s="169"/>
      <c r="L122" s="169"/>
      <c r="M122" s="169" t="s">
        <v>820</v>
      </c>
      <c r="N122" s="169" t="s">
        <v>821</v>
      </c>
      <c r="O122" s="33" t="s">
        <v>1119</v>
      </c>
      <c r="P122" s="36"/>
      <c r="Q122" s="170" t="s">
        <v>251</v>
      </c>
      <c r="R122" s="36" t="s">
        <v>591</v>
      </c>
      <c r="S122" s="36" t="s">
        <v>1110</v>
      </c>
      <c r="T122" s="36"/>
      <c r="U122" s="171" t="s">
        <v>1120</v>
      </c>
      <c r="V122" s="169"/>
      <c r="W122" s="172">
        <v>1</v>
      </c>
      <c r="X122" s="139" t="s">
        <v>594</v>
      </c>
      <c r="Y122" s="173" t="s">
        <v>1121</v>
      </c>
      <c r="Z122" s="174">
        <v>0</v>
      </c>
      <c r="AA122" s="36"/>
      <c r="AB122" s="36" t="s">
        <v>1122</v>
      </c>
      <c r="AC122" s="169" t="s">
        <v>38</v>
      </c>
      <c r="AD122" s="36" t="s">
        <v>596</v>
      </c>
      <c r="AE122" s="36" t="s">
        <v>1114</v>
      </c>
      <c r="AF122" s="36" t="s">
        <v>292</v>
      </c>
      <c r="AG122" s="36" t="s">
        <v>33</v>
      </c>
      <c r="AH122" s="31" t="s">
        <v>41</v>
      </c>
      <c r="AI122" s="36"/>
      <c r="AJ122" s="36" t="s">
        <v>605</v>
      </c>
      <c r="AK122" s="36" t="s">
        <v>596</v>
      </c>
      <c r="AL122" s="36" t="s">
        <v>1063</v>
      </c>
      <c r="AM122" s="36"/>
      <c r="AN122" s="36"/>
      <c r="AO122" s="36"/>
      <c r="AP122" s="36"/>
      <c r="AQ122" s="36"/>
      <c r="AR122" s="36"/>
      <c r="AS122" s="168"/>
      <c r="AT122" s="175"/>
      <c r="AU122" s="175"/>
      <c r="AV122" s="175"/>
      <c r="AW122" s="175"/>
      <c r="AX122" s="175"/>
      <c r="AY122" s="176"/>
      <c r="AZ122" s="34">
        <v>13</v>
      </c>
      <c r="BA122" s="176"/>
      <c r="BB122" s="177"/>
      <c r="BC122" s="175"/>
      <c r="BD122" s="175"/>
      <c r="BE122" s="169"/>
      <c r="BF122" s="169" t="s">
        <v>1116</v>
      </c>
      <c r="BG122" s="31" t="s">
        <v>1117</v>
      </c>
      <c r="BH122" s="31" t="s">
        <v>1117</v>
      </c>
      <c r="BI122" s="31" t="s">
        <v>1117</v>
      </c>
      <c r="BJ122" s="48"/>
      <c r="BK122" s="49">
        <v>1</v>
      </c>
    </row>
    <row x14ac:dyDescent="0.25" r="123" customHeight="1" ht="31.5">
      <c r="A123" s="168" t="s">
        <v>1123</v>
      </c>
      <c r="B123" s="169" t="s">
        <v>1124</v>
      </c>
      <c r="C123" s="36" t="s">
        <v>1125</v>
      </c>
      <c r="D123" s="36" t="s">
        <v>1126</v>
      </c>
      <c r="E123" s="169"/>
      <c r="F123" s="169" t="s">
        <v>577</v>
      </c>
      <c r="G123" s="169" t="s">
        <v>589</v>
      </c>
      <c r="H123" s="36" t="s">
        <v>386</v>
      </c>
      <c r="I123" s="36"/>
      <c r="J123" s="36"/>
      <c r="K123" s="169"/>
      <c r="L123" s="169"/>
      <c r="M123" s="169" t="s">
        <v>820</v>
      </c>
      <c r="N123" s="169" t="s">
        <v>821</v>
      </c>
      <c r="O123" s="33" t="s">
        <v>1127</v>
      </c>
      <c r="P123" s="36"/>
      <c r="Q123" s="170" t="s">
        <v>251</v>
      </c>
      <c r="R123" s="36" t="s">
        <v>591</v>
      </c>
      <c r="S123" s="36" t="s">
        <v>1110</v>
      </c>
      <c r="T123" s="36"/>
      <c r="U123" s="171" t="s">
        <v>1128</v>
      </c>
      <c r="V123" s="169"/>
      <c r="W123" s="172">
        <v>1</v>
      </c>
      <c r="X123" s="139" t="s">
        <v>594</v>
      </c>
      <c r="Y123" s="173" t="s">
        <v>1101</v>
      </c>
      <c r="Z123" s="174">
        <v>0</v>
      </c>
      <c r="AA123" s="36"/>
      <c r="AB123" s="36" t="s">
        <v>1129</v>
      </c>
      <c r="AC123" s="169" t="s">
        <v>38</v>
      </c>
      <c r="AD123" s="36" t="s">
        <v>596</v>
      </c>
      <c r="AE123" s="36" t="s">
        <v>1114</v>
      </c>
      <c r="AF123" s="36" t="s">
        <v>292</v>
      </c>
      <c r="AG123" s="36" t="s">
        <v>47</v>
      </c>
      <c r="AH123" s="31" t="s">
        <v>27</v>
      </c>
      <c r="AI123" s="36"/>
      <c r="AJ123" s="36" t="s">
        <v>605</v>
      </c>
      <c r="AK123" s="36" t="s">
        <v>596</v>
      </c>
      <c r="AL123" s="36" t="s">
        <v>1063</v>
      </c>
      <c r="AM123" s="36"/>
      <c r="AN123" s="36"/>
      <c r="AO123" s="36"/>
      <c r="AP123" s="36"/>
      <c r="AQ123" s="36"/>
      <c r="AR123" s="36"/>
      <c r="AS123" s="168"/>
      <c r="AT123" s="175"/>
      <c r="AU123" s="175"/>
      <c r="AV123" s="175"/>
      <c r="AW123" s="175"/>
      <c r="AX123" s="175"/>
      <c r="AY123" s="176"/>
      <c r="AZ123" s="174">
        <v>14</v>
      </c>
      <c r="BA123" s="176"/>
      <c r="BB123" s="177"/>
      <c r="BC123" s="175"/>
      <c r="BD123" s="175"/>
      <c r="BE123" s="169"/>
      <c r="BF123" s="169" t="s">
        <v>1124</v>
      </c>
      <c r="BG123" s="31" t="s">
        <v>1125</v>
      </c>
      <c r="BH123" s="31" t="s">
        <v>1125</v>
      </c>
      <c r="BI123" s="31" t="s">
        <v>1125</v>
      </c>
      <c r="BJ123" s="48"/>
      <c r="BK123" s="30">
        <v>1</v>
      </c>
    </row>
    <row x14ac:dyDescent="0.25" r="124" customHeight="1" ht="31.5">
      <c r="A124" s="168" t="s">
        <v>1130</v>
      </c>
      <c r="B124" s="169" t="s">
        <v>1131</v>
      </c>
      <c r="C124" s="36" t="s">
        <v>1132</v>
      </c>
      <c r="D124" s="36" t="s">
        <v>1133</v>
      </c>
      <c r="E124" s="169"/>
      <c r="F124" s="169" t="s">
        <v>577</v>
      </c>
      <c r="G124" s="169" t="s">
        <v>589</v>
      </c>
      <c r="H124" s="36" t="s">
        <v>386</v>
      </c>
      <c r="I124" s="36"/>
      <c r="J124" s="36"/>
      <c r="K124" s="169"/>
      <c r="L124" s="169"/>
      <c r="M124" s="169" t="s">
        <v>820</v>
      </c>
      <c r="N124" s="169" t="s">
        <v>821</v>
      </c>
      <c r="O124" s="33" t="s">
        <v>1134</v>
      </c>
      <c r="P124" s="36"/>
      <c r="Q124" s="170" t="s">
        <v>251</v>
      </c>
      <c r="R124" s="36" t="s">
        <v>591</v>
      </c>
      <c r="S124" s="36" t="s">
        <v>1110</v>
      </c>
      <c r="T124" s="36"/>
      <c r="U124" s="171" t="s">
        <v>1132</v>
      </c>
      <c r="V124" s="169"/>
      <c r="W124" s="172">
        <v>1</v>
      </c>
      <c r="X124" s="139" t="s">
        <v>594</v>
      </c>
      <c r="Y124" s="173" t="s">
        <v>1101</v>
      </c>
      <c r="Z124" s="174">
        <v>0</v>
      </c>
      <c r="AA124" s="36"/>
      <c r="AB124" s="36" t="s">
        <v>1135</v>
      </c>
      <c r="AC124" s="169" t="s">
        <v>38</v>
      </c>
      <c r="AD124" s="36" t="s">
        <v>596</v>
      </c>
      <c r="AE124" s="36" t="s">
        <v>1114</v>
      </c>
      <c r="AF124" s="36" t="s">
        <v>292</v>
      </c>
      <c r="AG124" s="36" t="s">
        <v>59</v>
      </c>
      <c r="AH124" s="31" t="s">
        <v>27</v>
      </c>
      <c r="AI124" s="36"/>
      <c r="AJ124" s="36" t="s">
        <v>605</v>
      </c>
      <c r="AK124" s="36" t="s">
        <v>596</v>
      </c>
      <c r="AL124" s="36" t="s">
        <v>1063</v>
      </c>
      <c r="AM124" s="36"/>
      <c r="AN124" s="36"/>
      <c r="AO124" s="36"/>
      <c r="AP124" s="36"/>
      <c r="AQ124" s="36"/>
      <c r="AR124" s="36"/>
      <c r="AS124" s="168"/>
      <c r="AT124" s="175"/>
      <c r="AU124" s="175"/>
      <c r="AV124" s="175"/>
      <c r="AW124" s="175"/>
      <c r="AX124" s="175"/>
      <c r="AY124" s="176"/>
      <c r="AZ124" s="34">
        <v>15</v>
      </c>
      <c r="BA124" s="176"/>
      <c r="BB124" s="177"/>
      <c r="BC124" s="175"/>
      <c r="BD124" s="175"/>
      <c r="BE124" s="169"/>
      <c r="BF124" s="169" t="s">
        <v>1131</v>
      </c>
      <c r="BG124" s="31" t="s">
        <v>1132</v>
      </c>
      <c r="BH124" s="31" t="s">
        <v>1132</v>
      </c>
      <c r="BI124" s="31" t="s">
        <v>1132</v>
      </c>
      <c r="BJ124" s="48"/>
      <c r="BK124" s="49">
        <v>1</v>
      </c>
    </row>
    <row x14ac:dyDescent="0.25" r="125" customHeight="1" ht="31.5">
      <c r="A125" s="168" t="s">
        <v>1136</v>
      </c>
      <c r="B125" s="169" t="s">
        <v>1137</v>
      </c>
      <c r="C125" s="36" t="s">
        <v>1138</v>
      </c>
      <c r="D125" s="36" t="s">
        <v>1139</v>
      </c>
      <c r="E125" s="169"/>
      <c r="F125" s="169" t="s">
        <v>577</v>
      </c>
      <c r="G125" s="169" t="s">
        <v>589</v>
      </c>
      <c r="H125" s="36" t="s">
        <v>386</v>
      </c>
      <c r="I125" s="36"/>
      <c r="J125" s="36"/>
      <c r="K125" s="169"/>
      <c r="L125" s="169"/>
      <c r="M125" s="169" t="s">
        <v>820</v>
      </c>
      <c r="N125" s="169" t="s">
        <v>821</v>
      </c>
      <c r="O125" s="33" t="s">
        <v>1140</v>
      </c>
      <c r="P125" s="36"/>
      <c r="Q125" s="170" t="s">
        <v>251</v>
      </c>
      <c r="R125" s="36" t="s">
        <v>591</v>
      </c>
      <c r="S125" s="36" t="s">
        <v>1110</v>
      </c>
      <c r="T125" s="36"/>
      <c r="U125" s="171" t="s">
        <v>1138</v>
      </c>
      <c r="V125" s="169"/>
      <c r="W125" s="172">
        <v>1</v>
      </c>
      <c r="X125" s="139" t="s">
        <v>594</v>
      </c>
      <c r="Y125" s="173" t="s">
        <v>1101</v>
      </c>
      <c r="Z125" s="174">
        <v>0</v>
      </c>
      <c r="AA125" s="36"/>
      <c r="AB125" s="36" t="s">
        <v>1141</v>
      </c>
      <c r="AC125" s="169" t="s">
        <v>38</v>
      </c>
      <c r="AD125" s="36" t="s">
        <v>596</v>
      </c>
      <c r="AE125" s="36" t="s">
        <v>1114</v>
      </c>
      <c r="AF125" s="36" t="s">
        <v>292</v>
      </c>
      <c r="AG125" s="36" t="s">
        <v>71</v>
      </c>
      <c r="AH125" s="31" t="s">
        <v>27</v>
      </c>
      <c r="AI125" s="36"/>
      <c r="AJ125" s="36" t="s">
        <v>605</v>
      </c>
      <c r="AK125" s="36" t="s">
        <v>596</v>
      </c>
      <c r="AL125" s="36" t="s">
        <v>1063</v>
      </c>
      <c r="AM125" s="36"/>
      <c r="AN125" s="36"/>
      <c r="AO125" s="36"/>
      <c r="AP125" s="36"/>
      <c r="AQ125" s="36"/>
      <c r="AR125" s="36"/>
      <c r="AS125" s="168"/>
      <c r="AT125" s="175"/>
      <c r="AU125" s="175"/>
      <c r="AV125" s="175"/>
      <c r="AW125" s="175"/>
      <c r="AX125" s="175"/>
      <c r="AY125" s="176"/>
      <c r="AZ125" s="174">
        <v>16</v>
      </c>
      <c r="BA125" s="176"/>
      <c r="BB125" s="177"/>
      <c r="BC125" s="175"/>
      <c r="BD125" s="175"/>
      <c r="BE125" s="169"/>
      <c r="BF125" s="169" t="s">
        <v>1137</v>
      </c>
      <c r="BG125" s="31" t="s">
        <v>1138</v>
      </c>
      <c r="BH125" s="31" t="s">
        <v>1138</v>
      </c>
      <c r="BI125" s="31" t="s">
        <v>1138</v>
      </c>
      <c r="BJ125" s="48"/>
      <c r="BK125" s="30">
        <v>1</v>
      </c>
    </row>
    <row x14ac:dyDescent="0.25" r="126" customHeight="1" ht="31.5">
      <c r="A126" s="168" t="s">
        <v>1142</v>
      </c>
      <c r="B126" s="169" t="s">
        <v>1143</v>
      </c>
      <c r="C126" s="36" t="s">
        <v>1144</v>
      </c>
      <c r="D126" s="36" t="s">
        <v>1145</v>
      </c>
      <c r="E126" s="169"/>
      <c r="F126" s="169" t="s">
        <v>577</v>
      </c>
      <c r="G126" s="169" t="s">
        <v>589</v>
      </c>
      <c r="H126" s="36" t="s">
        <v>386</v>
      </c>
      <c r="I126" s="36"/>
      <c r="J126" s="36"/>
      <c r="K126" s="169"/>
      <c r="L126" s="169"/>
      <c r="M126" s="169" t="s">
        <v>820</v>
      </c>
      <c r="N126" s="169" t="s">
        <v>821</v>
      </c>
      <c r="O126" s="33" t="s">
        <v>1146</v>
      </c>
      <c r="P126" s="36"/>
      <c r="Q126" s="170" t="s">
        <v>251</v>
      </c>
      <c r="R126" s="36" t="s">
        <v>591</v>
      </c>
      <c r="S126" s="36" t="s">
        <v>1110</v>
      </c>
      <c r="T126" s="36"/>
      <c r="U126" s="171" t="s">
        <v>1147</v>
      </c>
      <c r="V126" s="169"/>
      <c r="W126" s="172">
        <v>1</v>
      </c>
      <c r="X126" s="139" t="s">
        <v>594</v>
      </c>
      <c r="Y126" s="173" t="s">
        <v>1148</v>
      </c>
      <c r="Z126" s="174">
        <v>0</v>
      </c>
      <c r="AA126" s="36"/>
      <c r="AB126" s="36" t="s">
        <v>1149</v>
      </c>
      <c r="AC126" s="169" t="s">
        <v>38</v>
      </c>
      <c r="AD126" s="36" t="s">
        <v>596</v>
      </c>
      <c r="AE126" s="36" t="s">
        <v>1114</v>
      </c>
      <c r="AF126" s="36" t="s">
        <v>292</v>
      </c>
      <c r="AG126" s="36" t="s">
        <v>83</v>
      </c>
      <c r="AH126" s="31" t="s">
        <v>55</v>
      </c>
      <c r="AI126" s="36"/>
      <c r="AJ126" s="36" t="s">
        <v>605</v>
      </c>
      <c r="AK126" s="36" t="s">
        <v>596</v>
      </c>
      <c r="AL126" s="36" t="s">
        <v>1063</v>
      </c>
      <c r="AM126" s="36"/>
      <c r="AN126" s="36"/>
      <c r="AO126" s="36"/>
      <c r="AP126" s="36"/>
      <c r="AQ126" s="36"/>
      <c r="AR126" s="36"/>
      <c r="AS126" s="168"/>
      <c r="AT126" s="175"/>
      <c r="AU126" s="175"/>
      <c r="AV126" s="175"/>
      <c r="AW126" s="175"/>
      <c r="AX126" s="175"/>
      <c r="AY126" s="176"/>
      <c r="AZ126" s="174">
        <v>17</v>
      </c>
      <c r="BA126" s="176"/>
      <c r="BB126" s="177"/>
      <c r="BC126" s="175"/>
      <c r="BD126" s="175"/>
      <c r="BE126" s="169"/>
      <c r="BF126" s="169" t="s">
        <v>1143</v>
      </c>
      <c r="BG126" s="31" t="s">
        <v>1144</v>
      </c>
      <c r="BH126" s="31" t="s">
        <v>1144</v>
      </c>
      <c r="BI126" s="31" t="s">
        <v>1144</v>
      </c>
      <c r="BJ126" s="48"/>
      <c r="BK126" s="49">
        <v>1</v>
      </c>
    </row>
    <row x14ac:dyDescent="0.25" r="127" customHeight="1" ht="31.5">
      <c r="A127" s="168" t="s">
        <v>1150</v>
      </c>
      <c r="B127" s="169" t="s">
        <v>1151</v>
      </c>
      <c r="C127" s="36" t="s">
        <v>1152</v>
      </c>
      <c r="D127" s="36" t="s">
        <v>1153</v>
      </c>
      <c r="E127" s="169"/>
      <c r="F127" s="169" t="s">
        <v>226</v>
      </c>
      <c r="G127" s="169" t="s">
        <v>589</v>
      </c>
      <c r="H127" s="36" t="s">
        <v>386</v>
      </c>
      <c r="I127" s="36"/>
      <c r="J127" s="36"/>
      <c r="K127" s="169"/>
      <c r="L127" s="169"/>
      <c r="M127" s="169" t="s">
        <v>820</v>
      </c>
      <c r="N127" s="169" t="s">
        <v>821</v>
      </c>
      <c r="O127" s="33" t="s">
        <v>1154</v>
      </c>
      <c r="P127" s="36"/>
      <c r="Q127" s="170" t="s">
        <v>251</v>
      </c>
      <c r="R127" s="36" t="s">
        <v>591</v>
      </c>
      <c r="S127" s="36" t="s">
        <v>1110</v>
      </c>
      <c r="T127" s="36"/>
      <c r="U127" s="36" t="s">
        <v>1155</v>
      </c>
      <c r="V127" s="169"/>
      <c r="W127" s="172">
        <v>1</v>
      </c>
      <c r="X127" s="139" t="s">
        <v>594</v>
      </c>
      <c r="Y127" s="173" t="s">
        <v>256</v>
      </c>
      <c r="Z127" s="174">
        <v>0</v>
      </c>
      <c r="AA127" s="36"/>
      <c r="AB127" s="36" t="s">
        <v>1156</v>
      </c>
      <c r="AC127" s="169" t="s">
        <v>38</v>
      </c>
      <c r="AD127" s="36" t="s">
        <v>596</v>
      </c>
      <c r="AE127" s="36" t="s">
        <v>1114</v>
      </c>
      <c r="AF127" s="36" t="s">
        <v>292</v>
      </c>
      <c r="AG127" s="36" t="s">
        <v>103</v>
      </c>
      <c r="AH127" s="31" t="s">
        <v>67</v>
      </c>
      <c r="AI127" s="36"/>
      <c r="AJ127" s="36" t="s">
        <v>605</v>
      </c>
      <c r="AK127" s="36" t="s">
        <v>596</v>
      </c>
      <c r="AL127" s="36" t="s">
        <v>1063</v>
      </c>
      <c r="AM127" s="36"/>
      <c r="AN127" s="36"/>
      <c r="AO127" s="36"/>
      <c r="AP127" s="36"/>
      <c r="AQ127" s="36"/>
      <c r="AR127" s="36"/>
      <c r="AS127" s="168"/>
      <c r="AT127" s="175"/>
      <c r="AU127" s="175"/>
      <c r="AV127" s="175"/>
      <c r="AW127" s="175"/>
      <c r="AX127" s="175"/>
      <c r="AY127" s="176"/>
      <c r="AZ127" s="174">
        <v>18</v>
      </c>
      <c r="BA127" s="176"/>
      <c r="BB127" s="177"/>
      <c r="BC127" s="175"/>
      <c r="BD127" s="175"/>
      <c r="BE127" s="169"/>
      <c r="BF127" s="169" t="s">
        <v>1151</v>
      </c>
      <c r="BG127" s="31" t="s">
        <v>1152</v>
      </c>
      <c r="BH127" s="31" t="s">
        <v>1152</v>
      </c>
      <c r="BI127" s="31" t="s">
        <v>1152</v>
      </c>
      <c r="BJ127" s="48"/>
      <c r="BK127" s="30">
        <v>1</v>
      </c>
    </row>
    <row x14ac:dyDescent="0.25" r="128" customHeight="1" ht="31.5">
      <c r="A128" s="168" t="s">
        <v>1157</v>
      </c>
      <c r="B128" s="169" t="s">
        <v>1158</v>
      </c>
      <c r="C128" s="36" t="s">
        <v>1159</v>
      </c>
      <c r="D128" s="36" t="s">
        <v>1160</v>
      </c>
      <c r="E128" s="169"/>
      <c r="F128" s="169" t="s">
        <v>226</v>
      </c>
      <c r="G128" s="169" t="s">
        <v>589</v>
      </c>
      <c r="H128" s="36" t="s">
        <v>386</v>
      </c>
      <c r="I128" s="36"/>
      <c r="J128" s="36"/>
      <c r="K128" s="169"/>
      <c r="L128" s="169"/>
      <c r="M128" s="169" t="s">
        <v>820</v>
      </c>
      <c r="N128" s="169" t="s">
        <v>821</v>
      </c>
      <c r="O128" s="33" t="s">
        <v>1161</v>
      </c>
      <c r="P128" s="36"/>
      <c r="Q128" s="170" t="s">
        <v>251</v>
      </c>
      <c r="R128" s="36" t="s">
        <v>591</v>
      </c>
      <c r="S128" s="36" t="s">
        <v>1110</v>
      </c>
      <c r="T128" s="36"/>
      <c r="U128" s="171" t="s">
        <v>1162</v>
      </c>
      <c r="V128" s="169"/>
      <c r="W128" s="172">
        <v>1</v>
      </c>
      <c r="X128" s="139" t="s">
        <v>594</v>
      </c>
      <c r="Y128" s="173" t="s">
        <v>256</v>
      </c>
      <c r="Z128" s="174">
        <v>0</v>
      </c>
      <c r="AA128" s="36"/>
      <c r="AB128" s="36" t="s">
        <v>1163</v>
      </c>
      <c r="AC128" s="169" t="s">
        <v>38</v>
      </c>
      <c r="AD128" s="36" t="s">
        <v>596</v>
      </c>
      <c r="AE128" s="36" t="s">
        <v>1114</v>
      </c>
      <c r="AF128" s="36" t="s">
        <v>292</v>
      </c>
      <c r="AG128" s="36" t="s">
        <v>112</v>
      </c>
      <c r="AH128" s="31" t="s">
        <v>67</v>
      </c>
      <c r="AI128" s="36"/>
      <c r="AJ128" s="36" t="s">
        <v>605</v>
      </c>
      <c r="AK128" s="36" t="s">
        <v>596</v>
      </c>
      <c r="AL128" s="36" t="s">
        <v>1063</v>
      </c>
      <c r="AM128" s="36"/>
      <c r="AN128" s="36"/>
      <c r="AO128" s="36"/>
      <c r="AP128" s="36"/>
      <c r="AQ128" s="36"/>
      <c r="AR128" s="36"/>
      <c r="AS128" s="168"/>
      <c r="AT128" s="175"/>
      <c r="AU128" s="175"/>
      <c r="AV128" s="175"/>
      <c r="AW128" s="175"/>
      <c r="AX128" s="175"/>
      <c r="AY128" s="176"/>
      <c r="AZ128" s="174">
        <v>19</v>
      </c>
      <c r="BA128" s="176"/>
      <c r="BB128" s="177"/>
      <c r="BC128" s="175"/>
      <c r="BD128" s="175"/>
      <c r="BE128" s="169"/>
      <c r="BF128" s="169" t="s">
        <v>1158</v>
      </c>
      <c r="BG128" s="31" t="s">
        <v>1159</v>
      </c>
      <c r="BH128" s="31" t="s">
        <v>1159</v>
      </c>
      <c r="BI128" s="31" t="s">
        <v>1159</v>
      </c>
      <c r="BJ128" s="48"/>
      <c r="BK128" s="49">
        <v>1</v>
      </c>
    </row>
    <row x14ac:dyDescent="0.25" r="129" customHeight="1" ht="31.5">
      <c r="A129" s="168" t="s">
        <v>1164</v>
      </c>
      <c r="B129" s="169" t="s">
        <v>1165</v>
      </c>
      <c r="C129" s="36" t="s">
        <v>1166</v>
      </c>
      <c r="D129" s="36" t="s">
        <v>1167</v>
      </c>
      <c r="E129" s="169"/>
      <c r="F129" s="169" t="s">
        <v>226</v>
      </c>
      <c r="G129" s="169" t="s">
        <v>589</v>
      </c>
      <c r="H129" s="36" t="s">
        <v>386</v>
      </c>
      <c r="I129" s="36"/>
      <c r="J129" s="36"/>
      <c r="K129" s="169"/>
      <c r="L129" s="169"/>
      <c r="M129" s="169" t="s">
        <v>820</v>
      </c>
      <c r="N129" s="169" t="s">
        <v>821</v>
      </c>
      <c r="O129" s="33" t="s">
        <v>1168</v>
      </c>
      <c r="P129" s="36"/>
      <c r="Q129" s="170" t="s">
        <v>251</v>
      </c>
      <c r="R129" s="36" t="s">
        <v>591</v>
      </c>
      <c r="S129" s="36" t="s">
        <v>1110</v>
      </c>
      <c r="T129" s="36"/>
      <c r="U129" s="171" t="s">
        <v>1169</v>
      </c>
      <c r="V129" s="169"/>
      <c r="W129" s="172">
        <v>1</v>
      </c>
      <c r="X129" s="139" t="s">
        <v>594</v>
      </c>
      <c r="Y129" s="173" t="s">
        <v>256</v>
      </c>
      <c r="Z129" s="174">
        <v>0</v>
      </c>
      <c r="AA129" s="36"/>
      <c r="AB129" s="36" t="s">
        <v>1170</v>
      </c>
      <c r="AC129" s="169" t="s">
        <v>38</v>
      </c>
      <c r="AD129" s="36" t="s">
        <v>596</v>
      </c>
      <c r="AE129" s="36" t="s">
        <v>1114</v>
      </c>
      <c r="AF129" s="36" t="s">
        <v>292</v>
      </c>
      <c r="AG129" s="36" t="s">
        <v>94</v>
      </c>
      <c r="AH129" s="31" t="s">
        <v>67</v>
      </c>
      <c r="AI129" s="36"/>
      <c r="AJ129" s="36" t="s">
        <v>605</v>
      </c>
      <c r="AK129" s="36" t="s">
        <v>596</v>
      </c>
      <c r="AL129" s="36" t="s">
        <v>1063</v>
      </c>
      <c r="AM129" s="36"/>
      <c r="AN129" s="36"/>
      <c r="AO129" s="36"/>
      <c r="AP129" s="36"/>
      <c r="AQ129" s="36"/>
      <c r="AR129" s="36"/>
      <c r="AS129" s="168"/>
      <c r="AT129" s="175"/>
      <c r="AU129" s="175"/>
      <c r="AV129" s="175"/>
      <c r="AW129" s="175"/>
      <c r="AX129" s="175"/>
      <c r="AY129" s="176"/>
      <c r="AZ129" s="174">
        <v>20</v>
      </c>
      <c r="BA129" s="176"/>
      <c r="BB129" s="177"/>
      <c r="BC129" s="175"/>
      <c r="BD129" s="175"/>
      <c r="BE129" s="169"/>
      <c r="BF129" s="169" t="s">
        <v>1165</v>
      </c>
      <c r="BG129" s="31" t="s">
        <v>1166</v>
      </c>
      <c r="BH129" s="31" t="s">
        <v>1166</v>
      </c>
      <c r="BI129" s="31" t="s">
        <v>1166</v>
      </c>
      <c r="BJ129" s="48"/>
      <c r="BK129" s="30">
        <v>1</v>
      </c>
    </row>
    <row x14ac:dyDescent="0.25" r="130" customHeight="1" ht="31.5">
      <c r="A130" s="30">
        <v>30053</v>
      </c>
      <c r="B130" s="5" t="s">
        <v>1171</v>
      </c>
      <c r="C130" s="31" t="s">
        <v>1172</v>
      </c>
      <c r="D130" s="31" t="s">
        <v>1173</v>
      </c>
      <c r="E130" s="5"/>
      <c r="F130" s="5" t="s">
        <v>577</v>
      </c>
      <c r="G130" s="5" t="s">
        <v>589</v>
      </c>
      <c r="H130" s="31" t="s">
        <v>386</v>
      </c>
      <c r="I130" s="32"/>
      <c r="J130" s="32"/>
      <c r="K130" s="5"/>
      <c r="L130" s="5"/>
      <c r="M130" s="5" t="s">
        <v>820</v>
      </c>
      <c r="N130" s="5" t="s">
        <v>726</v>
      </c>
      <c r="O130" s="33" t="s">
        <v>1174</v>
      </c>
      <c r="P130" s="31"/>
      <c r="Q130" s="1" t="s">
        <v>251</v>
      </c>
      <c r="R130" s="31" t="s">
        <v>755</v>
      </c>
      <c r="S130" s="31" t="s">
        <v>1077</v>
      </c>
      <c r="T130" s="31"/>
      <c r="U130" s="55" t="s">
        <v>1175</v>
      </c>
      <c r="V130" s="5"/>
      <c r="W130" s="40">
        <v>1</v>
      </c>
      <c r="X130" s="41" t="s">
        <v>594</v>
      </c>
      <c r="Y130" s="42" t="s">
        <v>1112</v>
      </c>
      <c r="Z130" s="35">
        <v>0</v>
      </c>
      <c r="AA130" s="31"/>
      <c r="AB130" s="31" t="s">
        <v>1176</v>
      </c>
      <c r="AC130" s="5" t="s">
        <v>38</v>
      </c>
      <c r="AD130" s="31" t="s">
        <v>596</v>
      </c>
      <c r="AE130" s="36" t="s">
        <v>1177</v>
      </c>
      <c r="AF130" s="31" t="s">
        <v>292</v>
      </c>
      <c r="AG130" s="31" t="s">
        <v>17</v>
      </c>
      <c r="AH130" s="31" t="s">
        <v>27</v>
      </c>
      <c r="AI130" s="31"/>
      <c r="AJ130" s="31" t="s">
        <v>605</v>
      </c>
      <c r="AK130" s="31" t="s">
        <v>596</v>
      </c>
      <c r="AL130" s="31" t="s">
        <v>1063</v>
      </c>
      <c r="AM130" s="31"/>
      <c r="AN130" s="31"/>
      <c r="AO130" s="31"/>
      <c r="AP130" s="31"/>
      <c r="AQ130" s="31"/>
      <c r="AR130" s="31"/>
      <c r="AS130" s="30"/>
      <c r="AT130" s="37"/>
      <c r="AU130" s="37"/>
      <c r="AV130" s="37"/>
      <c r="AW130" s="37"/>
      <c r="AX130" s="37"/>
      <c r="AY130" s="38"/>
      <c r="AZ130" s="34">
        <v>21</v>
      </c>
      <c r="BA130" s="38"/>
      <c r="BB130" s="46"/>
      <c r="BC130" s="37"/>
      <c r="BD130" s="37"/>
      <c r="BE130" s="58"/>
      <c r="BF130" s="167" t="s">
        <v>1171</v>
      </c>
      <c r="BG130" s="55" t="s">
        <v>1178</v>
      </c>
      <c r="BH130" s="55" t="s">
        <v>1178</v>
      </c>
      <c r="BI130" s="55" t="s">
        <v>1178</v>
      </c>
      <c r="BJ130" s="48"/>
      <c r="BK130" s="30">
        <v>1</v>
      </c>
    </row>
    <row x14ac:dyDescent="0.25" r="131" customHeight="1" ht="31.5">
      <c r="A131" s="30">
        <v>30054</v>
      </c>
      <c r="B131" s="5" t="s">
        <v>1179</v>
      </c>
      <c r="C131" s="31" t="s">
        <v>1180</v>
      </c>
      <c r="D131" s="31" t="s">
        <v>1181</v>
      </c>
      <c r="E131" s="5"/>
      <c r="F131" s="5" t="s">
        <v>226</v>
      </c>
      <c r="G131" s="5" t="s">
        <v>589</v>
      </c>
      <c r="H131" s="31" t="s">
        <v>386</v>
      </c>
      <c r="I131" s="32"/>
      <c r="J131" s="32"/>
      <c r="K131" s="5"/>
      <c r="L131" s="5"/>
      <c r="M131" s="5" t="s">
        <v>820</v>
      </c>
      <c r="N131" s="5" t="s">
        <v>726</v>
      </c>
      <c r="O131" s="53" t="s">
        <v>1182</v>
      </c>
      <c r="P131" s="31"/>
      <c r="Q131" s="1" t="s">
        <v>251</v>
      </c>
      <c r="R131" s="31" t="s">
        <v>591</v>
      </c>
      <c r="S131" s="31" t="s">
        <v>1077</v>
      </c>
      <c r="T131" s="31"/>
      <c r="U131" s="55" t="s">
        <v>1183</v>
      </c>
      <c r="V131" s="5"/>
      <c r="W131" s="40">
        <v>1</v>
      </c>
      <c r="X131" s="41" t="s">
        <v>594</v>
      </c>
      <c r="Y131" s="42" t="s">
        <v>256</v>
      </c>
      <c r="Z131" s="35">
        <v>0</v>
      </c>
      <c r="AA131" s="31"/>
      <c r="AB131" s="31" t="s">
        <v>1184</v>
      </c>
      <c r="AC131" s="5" t="s">
        <v>52</v>
      </c>
      <c r="AD131" s="31" t="s">
        <v>596</v>
      </c>
      <c r="AE131" s="36" t="s">
        <v>1177</v>
      </c>
      <c r="AF131" s="31" t="s">
        <v>292</v>
      </c>
      <c r="AG131" s="31" t="s">
        <v>31</v>
      </c>
      <c r="AH131" s="31" t="s">
        <v>67</v>
      </c>
      <c r="AI131" s="31"/>
      <c r="AJ131" s="31" t="s">
        <v>605</v>
      </c>
      <c r="AK131" s="31" t="s">
        <v>596</v>
      </c>
      <c r="AL131" s="31" t="s">
        <v>1063</v>
      </c>
      <c r="AM131" s="31"/>
      <c r="AN131" s="31"/>
      <c r="AO131" s="31"/>
      <c r="AP131" s="31"/>
      <c r="AQ131" s="31"/>
      <c r="AR131" s="31"/>
      <c r="AS131" s="30"/>
      <c r="AT131" s="37"/>
      <c r="AU131" s="37"/>
      <c r="AV131" s="37"/>
      <c r="AW131" s="37"/>
      <c r="AX131" s="37"/>
      <c r="AY131" s="38"/>
      <c r="AZ131" s="34">
        <v>22</v>
      </c>
      <c r="BA131" s="38"/>
      <c r="BB131" s="46"/>
      <c r="BC131" s="37"/>
      <c r="BD131" s="37"/>
      <c r="BE131" s="5"/>
      <c r="BF131" s="167" t="s">
        <v>1179</v>
      </c>
      <c r="BG131" s="55" t="s">
        <v>1185</v>
      </c>
      <c r="BH131" s="55"/>
      <c r="BI131" s="55" t="s">
        <v>1185</v>
      </c>
      <c r="BJ131" s="48"/>
      <c r="BK131" s="49">
        <v>1</v>
      </c>
    </row>
    <row x14ac:dyDescent="0.25" r="132" customHeight="1" ht="31.5">
      <c r="A132" s="30">
        <v>30055</v>
      </c>
      <c r="B132" s="5" t="s">
        <v>1186</v>
      </c>
      <c r="C132" s="31" t="s">
        <v>1187</v>
      </c>
      <c r="D132" s="31" t="s">
        <v>1188</v>
      </c>
      <c r="E132" s="5"/>
      <c r="F132" s="5" t="s">
        <v>1189</v>
      </c>
      <c r="G132" s="5" t="s">
        <v>589</v>
      </c>
      <c r="H132" s="31" t="s">
        <v>386</v>
      </c>
      <c r="I132" s="32"/>
      <c r="J132" s="32"/>
      <c r="K132" s="5"/>
      <c r="L132" s="5"/>
      <c r="M132" s="5" t="s">
        <v>820</v>
      </c>
      <c r="N132" s="5" t="s">
        <v>726</v>
      </c>
      <c r="O132" s="33" t="s">
        <v>1190</v>
      </c>
      <c r="P132" s="31"/>
      <c r="Q132" s="1" t="s">
        <v>251</v>
      </c>
      <c r="R132" s="31" t="s">
        <v>755</v>
      </c>
      <c r="S132" s="31" t="s">
        <v>1077</v>
      </c>
      <c r="T132" s="31"/>
      <c r="U132" s="55" t="s">
        <v>1191</v>
      </c>
      <c r="V132" s="5"/>
      <c r="W132" s="40">
        <v>1</v>
      </c>
      <c r="X132" s="41" t="s">
        <v>594</v>
      </c>
      <c r="Y132" s="42" t="s">
        <v>1192</v>
      </c>
      <c r="Z132" s="35">
        <v>0</v>
      </c>
      <c r="AA132" s="31"/>
      <c r="AB132" s="31" t="s">
        <v>1193</v>
      </c>
      <c r="AC132" s="5" t="s">
        <v>38</v>
      </c>
      <c r="AD132" s="31" t="s">
        <v>596</v>
      </c>
      <c r="AE132" s="36" t="s">
        <v>1177</v>
      </c>
      <c r="AF132" s="31" t="s">
        <v>292</v>
      </c>
      <c r="AG132" s="31" t="s">
        <v>45</v>
      </c>
      <c r="AH132" s="31" t="s">
        <v>41</v>
      </c>
      <c r="AI132" s="31"/>
      <c r="AJ132" s="31" t="s">
        <v>605</v>
      </c>
      <c r="AK132" s="31" t="s">
        <v>596</v>
      </c>
      <c r="AL132" s="31" t="s">
        <v>1063</v>
      </c>
      <c r="AM132" s="31"/>
      <c r="AN132" s="31"/>
      <c r="AO132" s="31"/>
      <c r="AP132" s="31"/>
      <c r="AQ132" s="31"/>
      <c r="AR132" s="31"/>
      <c r="AS132" s="30"/>
      <c r="AT132" s="37"/>
      <c r="AU132" s="37"/>
      <c r="AV132" s="37"/>
      <c r="AW132" s="37"/>
      <c r="AX132" s="37"/>
      <c r="AY132" s="38"/>
      <c r="AZ132" s="34">
        <v>23</v>
      </c>
      <c r="BA132" s="38"/>
      <c r="BB132" s="46"/>
      <c r="BC132" s="37"/>
      <c r="BD132" s="37"/>
      <c r="BE132" s="58"/>
      <c r="BF132" s="167" t="s">
        <v>1186</v>
      </c>
      <c r="BG132" s="31"/>
      <c r="BH132" s="31"/>
      <c r="BI132" s="31"/>
      <c r="BJ132" s="48"/>
      <c r="BK132" s="30">
        <v>1</v>
      </c>
    </row>
    <row x14ac:dyDescent="0.25" r="133" customHeight="1" ht="31.5">
      <c r="A133" s="30">
        <v>30056</v>
      </c>
      <c r="B133" s="5" t="s">
        <v>1194</v>
      </c>
      <c r="C133" s="31" t="s">
        <v>1195</v>
      </c>
      <c r="D133" s="31" t="s">
        <v>1196</v>
      </c>
      <c r="E133" s="5"/>
      <c r="F133" s="5" t="s">
        <v>226</v>
      </c>
      <c r="G133" s="5" t="s">
        <v>589</v>
      </c>
      <c r="H133" s="31" t="s">
        <v>386</v>
      </c>
      <c r="I133" s="32"/>
      <c r="J133" s="32"/>
      <c r="K133" s="5"/>
      <c r="L133" s="5"/>
      <c r="M133" s="5" t="s">
        <v>820</v>
      </c>
      <c r="N133" s="5" t="s">
        <v>726</v>
      </c>
      <c r="O133" s="53" t="s">
        <v>1197</v>
      </c>
      <c r="P133" s="31"/>
      <c r="Q133" s="1" t="s">
        <v>251</v>
      </c>
      <c r="R133" s="31" t="s">
        <v>591</v>
      </c>
      <c r="S133" s="31" t="s">
        <v>1077</v>
      </c>
      <c r="T133" s="31"/>
      <c r="U133" s="55" t="s">
        <v>1198</v>
      </c>
      <c r="V133" s="5"/>
      <c r="W133" s="40">
        <v>1</v>
      </c>
      <c r="X133" s="41" t="s">
        <v>594</v>
      </c>
      <c r="Y133" s="42" t="s">
        <v>256</v>
      </c>
      <c r="Z133" s="35">
        <v>0</v>
      </c>
      <c r="AA133" s="31"/>
      <c r="AB133" s="31" t="s">
        <v>1199</v>
      </c>
      <c r="AC133" s="5" t="s">
        <v>52</v>
      </c>
      <c r="AD133" s="31" t="s">
        <v>596</v>
      </c>
      <c r="AE133" s="36" t="s">
        <v>1177</v>
      </c>
      <c r="AF133" s="31" t="s">
        <v>292</v>
      </c>
      <c r="AG133" s="31" t="s">
        <v>57</v>
      </c>
      <c r="AH133" s="31" t="s">
        <v>67</v>
      </c>
      <c r="AI133" s="31"/>
      <c r="AJ133" s="31" t="s">
        <v>605</v>
      </c>
      <c r="AK133" s="31" t="s">
        <v>596</v>
      </c>
      <c r="AL133" s="31" t="s">
        <v>1063</v>
      </c>
      <c r="AM133" s="31"/>
      <c r="AN133" s="31"/>
      <c r="AO133" s="31"/>
      <c r="AP133" s="31"/>
      <c r="AQ133" s="31"/>
      <c r="AR133" s="31"/>
      <c r="AS133" s="30"/>
      <c r="AT133" s="37"/>
      <c r="AU133" s="37"/>
      <c r="AV133" s="37"/>
      <c r="AW133" s="37"/>
      <c r="AX133" s="37"/>
      <c r="AY133" s="38"/>
      <c r="AZ133" s="34">
        <v>24</v>
      </c>
      <c r="BA133" s="38"/>
      <c r="BB133" s="46"/>
      <c r="BC133" s="37"/>
      <c r="BD133" s="37"/>
      <c r="BE133" s="5"/>
      <c r="BF133" s="167" t="s">
        <v>1194</v>
      </c>
      <c r="BG133" s="31"/>
      <c r="BH133" s="52"/>
      <c r="BI133" s="52"/>
      <c r="BJ133" s="48"/>
      <c r="BK133" s="49">
        <v>1</v>
      </c>
    </row>
    <row x14ac:dyDescent="0.25" r="134" customHeight="1" ht="31.5">
      <c r="A134" s="30">
        <v>30059</v>
      </c>
      <c r="B134" s="5" t="s">
        <v>1200</v>
      </c>
      <c r="C134" s="31" t="s">
        <v>1201</v>
      </c>
      <c r="D134" s="31" t="s">
        <v>1202</v>
      </c>
      <c r="E134" s="5"/>
      <c r="F134" s="5" t="s">
        <v>577</v>
      </c>
      <c r="G134" s="5" t="s">
        <v>589</v>
      </c>
      <c r="H134" s="31" t="s">
        <v>386</v>
      </c>
      <c r="I134" s="32"/>
      <c r="J134" s="32"/>
      <c r="K134" s="5"/>
      <c r="L134" s="5"/>
      <c r="M134" s="5" t="s">
        <v>820</v>
      </c>
      <c r="N134" s="5" t="s">
        <v>726</v>
      </c>
      <c r="O134" s="33" t="s">
        <v>1203</v>
      </c>
      <c r="P134" s="31"/>
      <c r="Q134" s="1" t="s">
        <v>251</v>
      </c>
      <c r="R134" s="31" t="s">
        <v>755</v>
      </c>
      <c r="S134" s="31" t="s">
        <v>1077</v>
      </c>
      <c r="T134" s="31"/>
      <c r="U134" s="55" t="s">
        <v>1204</v>
      </c>
      <c r="V134" s="5"/>
      <c r="W134" s="40">
        <v>1</v>
      </c>
      <c r="X134" s="41" t="s">
        <v>594</v>
      </c>
      <c r="Y134" s="42" t="s">
        <v>1101</v>
      </c>
      <c r="Z134" s="35">
        <v>0</v>
      </c>
      <c r="AA134" s="31"/>
      <c r="AB134" s="31" t="s">
        <v>1205</v>
      </c>
      <c r="AC134" s="5" t="s">
        <v>38</v>
      </c>
      <c r="AD134" s="31" t="s">
        <v>596</v>
      </c>
      <c r="AE134" s="36" t="s">
        <v>1177</v>
      </c>
      <c r="AF134" s="31" t="s">
        <v>292</v>
      </c>
      <c r="AG134" s="31" t="s">
        <v>31</v>
      </c>
      <c r="AH134" s="31" t="s">
        <v>27</v>
      </c>
      <c r="AI134" s="31"/>
      <c r="AJ134" s="31" t="s">
        <v>605</v>
      </c>
      <c r="AK134" s="31" t="s">
        <v>596</v>
      </c>
      <c r="AL134" s="31" t="s">
        <v>1063</v>
      </c>
      <c r="AM134" s="31"/>
      <c r="AN134" s="31"/>
      <c r="AO134" s="31"/>
      <c r="AP134" s="31"/>
      <c r="AQ134" s="31"/>
      <c r="AR134" s="31" t="s">
        <v>243</v>
      </c>
      <c r="AS134" s="30"/>
      <c r="AT134" s="37"/>
      <c r="AU134" s="37"/>
      <c r="AV134" s="37"/>
      <c r="AW134" s="37"/>
      <c r="AX134" s="37"/>
      <c r="AY134" s="38"/>
      <c r="AZ134" s="34">
        <v>25</v>
      </c>
      <c r="BA134" s="38"/>
      <c r="BB134" s="46"/>
      <c r="BC134" s="37"/>
      <c r="BD134" s="37"/>
      <c r="BE134" s="5"/>
      <c r="BF134" s="167" t="s">
        <v>1200</v>
      </c>
      <c r="BG134" s="55" t="s">
        <v>1206</v>
      </c>
      <c r="BH134" s="55"/>
      <c r="BI134" s="55" t="s">
        <v>1206</v>
      </c>
      <c r="BJ134" s="48"/>
      <c r="BK134" s="30">
        <v>1</v>
      </c>
    </row>
    <row x14ac:dyDescent="0.25" r="135" customHeight="1" ht="31.5">
      <c r="A135" s="30" t="s">
        <v>1207</v>
      </c>
      <c r="B135" s="5" t="s">
        <v>1208</v>
      </c>
      <c r="C135" s="31" t="s">
        <v>1209</v>
      </c>
      <c r="D135" s="31" t="s">
        <v>1210</v>
      </c>
      <c r="E135" s="5"/>
      <c r="F135" s="5" t="s">
        <v>226</v>
      </c>
      <c r="G135" s="5" t="s">
        <v>589</v>
      </c>
      <c r="H135" s="31" t="s">
        <v>386</v>
      </c>
      <c r="I135" s="32"/>
      <c r="J135" s="32"/>
      <c r="K135" s="5"/>
      <c r="L135" s="5"/>
      <c r="M135" s="5" t="s">
        <v>820</v>
      </c>
      <c r="N135" s="5" t="s">
        <v>726</v>
      </c>
      <c r="O135" s="53" t="s">
        <v>1211</v>
      </c>
      <c r="P135" s="31"/>
      <c r="Q135" s="1" t="s">
        <v>251</v>
      </c>
      <c r="R135" s="31" t="s">
        <v>591</v>
      </c>
      <c r="S135" s="31" t="s">
        <v>1077</v>
      </c>
      <c r="T135" s="31"/>
      <c r="U135" s="55" t="s">
        <v>1212</v>
      </c>
      <c r="V135" s="5"/>
      <c r="W135" s="40">
        <v>1</v>
      </c>
      <c r="X135" s="41" t="s">
        <v>594</v>
      </c>
      <c r="Y135" s="42" t="s">
        <v>256</v>
      </c>
      <c r="Z135" s="35">
        <v>0</v>
      </c>
      <c r="AA135" s="31"/>
      <c r="AB135" s="31" t="s">
        <v>1213</v>
      </c>
      <c r="AC135" s="5" t="s">
        <v>52</v>
      </c>
      <c r="AD135" s="31" t="s">
        <v>596</v>
      </c>
      <c r="AE135" s="36" t="s">
        <v>1177</v>
      </c>
      <c r="AF135" s="31" t="s">
        <v>292</v>
      </c>
      <c r="AG135" s="31" t="s">
        <v>81</v>
      </c>
      <c r="AH135" s="31" t="s">
        <v>67</v>
      </c>
      <c r="AI135" s="31"/>
      <c r="AJ135" s="31" t="s">
        <v>605</v>
      </c>
      <c r="AK135" s="31" t="s">
        <v>596</v>
      </c>
      <c r="AL135" s="31" t="s">
        <v>1063</v>
      </c>
      <c r="AM135" s="31"/>
      <c r="AN135" s="31"/>
      <c r="AO135" s="31"/>
      <c r="AP135" s="31"/>
      <c r="AQ135" s="31"/>
      <c r="AR135" s="31" t="s">
        <v>243</v>
      </c>
      <c r="AS135" s="30"/>
      <c r="AT135" s="37"/>
      <c r="AU135" s="37"/>
      <c r="AV135" s="37"/>
      <c r="AW135" s="37"/>
      <c r="AX135" s="37"/>
      <c r="AY135" s="38"/>
      <c r="AZ135" s="34">
        <v>26</v>
      </c>
      <c r="BA135" s="38"/>
      <c r="BB135" s="46"/>
      <c r="BC135" s="37"/>
      <c r="BD135" s="37"/>
      <c r="BE135" s="5"/>
      <c r="BF135" s="167" t="s">
        <v>1208</v>
      </c>
      <c r="BG135" s="55" t="s">
        <v>1214</v>
      </c>
      <c r="BH135" s="55"/>
      <c r="BI135" s="55" t="s">
        <v>1214</v>
      </c>
      <c r="BJ135" s="48"/>
      <c r="BK135" s="49">
        <v>1</v>
      </c>
    </row>
    <row x14ac:dyDescent="0.25" r="136" customHeight="1" ht="31.5">
      <c r="A136" s="30">
        <v>30060</v>
      </c>
      <c r="B136" s="5" t="s">
        <v>1215</v>
      </c>
      <c r="C136" s="31" t="s">
        <v>1216</v>
      </c>
      <c r="D136" s="31" t="s">
        <v>1217</v>
      </c>
      <c r="E136" s="5"/>
      <c r="F136" s="5" t="s">
        <v>577</v>
      </c>
      <c r="G136" s="5" t="s">
        <v>589</v>
      </c>
      <c r="H136" s="31" t="s">
        <v>386</v>
      </c>
      <c r="I136" s="32"/>
      <c r="J136" s="32"/>
      <c r="K136" s="5"/>
      <c r="L136" s="5"/>
      <c r="M136" s="5" t="s">
        <v>820</v>
      </c>
      <c r="N136" s="5" t="s">
        <v>726</v>
      </c>
      <c r="O136" s="33" t="s">
        <v>1218</v>
      </c>
      <c r="P136" s="31"/>
      <c r="Q136" s="1" t="s">
        <v>251</v>
      </c>
      <c r="R136" s="31" t="s">
        <v>755</v>
      </c>
      <c r="S136" s="31" t="s">
        <v>1077</v>
      </c>
      <c r="T136" s="31"/>
      <c r="U136" s="55" t="s">
        <v>1219</v>
      </c>
      <c r="V136" s="5"/>
      <c r="W136" s="40">
        <v>1</v>
      </c>
      <c r="X136" s="41" t="s">
        <v>594</v>
      </c>
      <c r="Y136" s="42" t="s">
        <v>1101</v>
      </c>
      <c r="Z136" s="35">
        <v>0</v>
      </c>
      <c r="AA136" s="31"/>
      <c r="AB136" s="31" t="s">
        <v>1220</v>
      </c>
      <c r="AC136" s="5" t="s">
        <v>38</v>
      </c>
      <c r="AD136" s="31" t="s">
        <v>596</v>
      </c>
      <c r="AE136" s="36" t="s">
        <v>1177</v>
      </c>
      <c r="AF136" s="31" t="s">
        <v>292</v>
      </c>
      <c r="AG136" s="31" t="s">
        <v>92</v>
      </c>
      <c r="AH136" s="31" t="s">
        <v>27</v>
      </c>
      <c r="AI136" s="31"/>
      <c r="AJ136" s="31" t="s">
        <v>605</v>
      </c>
      <c r="AK136" s="31" t="s">
        <v>596</v>
      </c>
      <c r="AL136" s="31" t="s">
        <v>1063</v>
      </c>
      <c r="AM136" s="31"/>
      <c r="AN136" s="31"/>
      <c r="AO136" s="31"/>
      <c r="AP136" s="31"/>
      <c r="AQ136" s="31"/>
      <c r="AR136" s="31" t="s">
        <v>243</v>
      </c>
      <c r="AS136" s="30"/>
      <c r="AT136" s="37"/>
      <c r="AU136" s="37"/>
      <c r="AV136" s="37"/>
      <c r="AW136" s="37"/>
      <c r="AX136" s="37"/>
      <c r="AY136" s="38"/>
      <c r="AZ136" s="34">
        <v>27</v>
      </c>
      <c r="BA136" s="38"/>
      <c r="BB136" s="46"/>
      <c r="BC136" s="37"/>
      <c r="BD136" s="37"/>
      <c r="BE136" s="5"/>
      <c r="BF136" s="167" t="s">
        <v>1215</v>
      </c>
      <c r="BG136" s="55" t="s">
        <v>1221</v>
      </c>
      <c r="BH136" s="55"/>
      <c r="BI136" s="55" t="s">
        <v>1221</v>
      </c>
      <c r="BJ136" s="48"/>
      <c r="BK136" s="30">
        <v>1</v>
      </c>
    </row>
    <row x14ac:dyDescent="0.25" r="137" customHeight="1" ht="31.5">
      <c r="A137" s="30">
        <v>30061</v>
      </c>
      <c r="B137" s="5" t="s">
        <v>1222</v>
      </c>
      <c r="C137" s="31" t="s">
        <v>1223</v>
      </c>
      <c r="D137" s="31" t="s">
        <v>1224</v>
      </c>
      <c r="E137" s="5"/>
      <c r="F137" s="5" t="s">
        <v>226</v>
      </c>
      <c r="G137" s="5" t="s">
        <v>589</v>
      </c>
      <c r="H137" s="31" t="s">
        <v>386</v>
      </c>
      <c r="I137" s="32"/>
      <c r="J137" s="32"/>
      <c r="K137" s="5"/>
      <c r="L137" s="5"/>
      <c r="M137" s="5" t="s">
        <v>820</v>
      </c>
      <c r="N137" s="5" t="s">
        <v>726</v>
      </c>
      <c r="O137" s="53" t="s">
        <v>1225</v>
      </c>
      <c r="P137" s="31"/>
      <c r="Q137" s="1" t="s">
        <v>251</v>
      </c>
      <c r="R137" s="31" t="s">
        <v>755</v>
      </c>
      <c r="S137" s="31" t="s">
        <v>1077</v>
      </c>
      <c r="T137" s="31"/>
      <c r="U137" s="55" t="s">
        <v>1226</v>
      </c>
      <c r="V137" s="5"/>
      <c r="W137" s="40">
        <v>1</v>
      </c>
      <c r="X137" s="41" t="s">
        <v>594</v>
      </c>
      <c r="Y137" s="42" t="s">
        <v>256</v>
      </c>
      <c r="Z137" s="35">
        <v>0</v>
      </c>
      <c r="AA137" s="31"/>
      <c r="AB137" s="31" t="s">
        <v>1227</v>
      </c>
      <c r="AC137" s="5" t="s">
        <v>52</v>
      </c>
      <c r="AD137" s="31" t="s">
        <v>596</v>
      </c>
      <c r="AE137" s="36" t="s">
        <v>1177</v>
      </c>
      <c r="AF137" s="31" t="s">
        <v>292</v>
      </c>
      <c r="AG137" s="31" t="s">
        <v>101</v>
      </c>
      <c r="AH137" s="31" t="s">
        <v>67</v>
      </c>
      <c r="AI137" s="31"/>
      <c r="AJ137" s="31" t="s">
        <v>605</v>
      </c>
      <c r="AK137" s="31" t="s">
        <v>596</v>
      </c>
      <c r="AL137" s="31" t="s">
        <v>1063</v>
      </c>
      <c r="AM137" s="31"/>
      <c r="AN137" s="31"/>
      <c r="AO137" s="31"/>
      <c r="AP137" s="31"/>
      <c r="AQ137" s="31"/>
      <c r="AR137" s="31" t="s">
        <v>243</v>
      </c>
      <c r="AS137" s="30"/>
      <c r="AT137" s="37"/>
      <c r="AU137" s="37"/>
      <c r="AV137" s="37"/>
      <c r="AW137" s="37"/>
      <c r="AX137" s="37"/>
      <c r="AY137" s="38"/>
      <c r="AZ137" s="34">
        <v>28</v>
      </c>
      <c r="BA137" s="38"/>
      <c r="BB137" s="46"/>
      <c r="BC137" s="37"/>
      <c r="BD137" s="37"/>
      <c r="BE137" s="5"/>
      <c r="BF137" s="167" t="s">
        <v>1222</v>
      </c>
      <c r="BG137" s="55" t="s">
        <v>1228</v>
      </c>
      <c r="BH137" s="55"/>
      <c r="BI137" s="55" t="s">
        <v>1228</v>
      </c>
      <c r="BJ137" s="48"/>
      <c r="BK137" s="49">
        <v>1</v>
      </c>
    </row>
    <row x14ac:dyDescent="0.25" r="138" customHeight="1" ht="31.5">
      <c r="A138" s="30" t="s">
        <v>1229</v>
      </c>
      <c r="B138" s="5" t="s">
        <v>1230</v>
      </c>
      <c r="C138" s="31" t="s">
        <v>1231</v>
      </c>
      <c r="D138" s="31" t="s">
        <v>1232</v>
      </c>
      <c r="E138" s="5"/>
      <c r="F138" s="5" t="s">
        <v>577</v>
      </c>
      <c r="G138" s="5" t="s">
        <v>589</v>
      </c>
      <c r="H138" s="31" t="s">
        <v>386</v>
      </c>
      <c r="I138" s="32"/>
      <c r="J138" s="32"/>
      <c r="K138" s="5"/>
      <c r="L138" s="5"/>
      <c r="M138" s="5" t="s">
        <v>820</v>
      </c>
      <c r="N138" s="5" t="s">
        <v>726</v>
      </c>
      <c r="O138" s="33" t="s">
        <v>1233</v>
      </c>
      <c r="P138" s="31"/>
      <c r="Q138" s="1" t="s">
        <v>251</v>
      </c>
      <c r="R138" s="31" t="s">
        <v>591</v>
      </c>
      <c r="S138" s="31" t="s">
        <v>1077</v>
      </c>
      <c r="T138" s="31"/>
      <c r="U138" s="55" t="s">
        <v>1234</v>
      </c>
      <c r="V138" s="5"/>
      <c r="W138" s="40">
        <v>1</v>
      </c>
      <c r="X138" s="41" t="s">
        <v>594</v>
      </c>
      <c r="Y138" s="42" t="s">
        <v>1101</v>
      </c>
      <c r="Z138" s="35">
        <v>0</v>
      </c>
      <c r="AA138" s="31"/>
      <c r="AB138" s="31" t="s">
        <v>1235</v>
      </c>
      <c r="AC138" s="5" t="s">
        <v>38</v>
      </c>
      <c r="AD138" s="31" t="s">
        <v>596</v>
      </c>
      <c r="AE138" s="36" t="s">
        <v>1177</v>
      </c>
      <c r="AF138" s="31" t="s">
        <v>292</v>
      </c>
      <c r="AG138" s="31" t="s">
        <v>110</v>
      </c>
      <c r="AH138" s="31" t="s">
        <v>27</v>
      </c>
      <c r="AI138" s="31"/>
      <c r="AJ138" s="31" t="s">
        <v>605</v>
      </c>
      <c r="AK138" s="31" t="s">
        <v>596</v>
      </c>
      <c r="AL138" s="31" t="s">
        <v>1063</v>
      </c>
      <c r="AM138" s="31"/>
      <c r="AN138" s="31"/>
      <c r="AO138" s="31"/>
      <c r="AP138" s="31"/>
      <c r="AQ138" s="31"/>
      <c r="AR138" s="31" t="s">
        <v>243</v>
      </c>
      <c r="AS138" s="30"/>
      <c r="AT138" s="37"/>
      <c r="AU138" s="37"/>
      <c r="AV138" s="37"/>
      <c r="AW138" s="37"/>
      <c r="AX138" s="37"/>
      <c r="AY138" s="38"/>
      <c r="AZ138" s="34">
        <v>29</v>
      </c>
      <c r="BA138" s="38"/>
      <c r="BB138" s="46"/>
      <c r="BC138" s="37"/>
      <c r="BD138" s="37"/>
      <c r="BE138" s="5"/>
      <c r="BF138" s="167" t="s">
        <v>1230</v>
      </c>
      <c r="BG138" s="55" t="s">
        <v>1236</v>
      </c>
      <c r="BH138" s="55"/>
      <c r="BI138" s="55" t="s">
        <v>1236</v>
      </c>
      <c r="BJ138" s="48"/>
      <c r="BK138" s="30">
        <v>1</v>
      </c>
    </row>
    <row x14ac:dyDescent="0.25" r="139" customHeight="1" ht="31.5">
      <c r="A139" s="30" t="s">
        <v>1237</v>
      </c>
      <c r="B139" s="5" t="s">
        <v>1238</v>
      </c>
      <c r="C139" s="31" t="s">
        <v>1239</v>
      </c>
      <c r="D139" s="31" t="s">
        <v>1240</v>
      </c>
      <c r="E139" s="5"/>
      <c r="F139" s="5" t="s">
        <v>226</v>
      </c>
      <c r="G139" s="5" t="s">
        <v>589</v>
      </c>
      <c r="H139" s="31" t="s">
        <v>386</v>
      </c>
      <c r="I139" s="32"/>
      <c r="J139" s="32"/>
      <c r="K139" s="5"/>
      <c r="L139" s="5"/>
      <c r="M139" s="5" t="s">
        <v>820</v>
      </c>
      <c r="N139" s="5"/>
      <c r="O139" s="53" t="s">
        <v>1241</v>
      </c>
      <c r="P139" s="31"/>
      <c r="Q139" s="1" t="s">
        <v>251</v>
      </c>
      <c r="R139" s="31" t="s">
        <v>591</v>
      </c>
      <c r="S139" s="31" t="s">
        <v>1077</v>
      </c>
      <c r="T139" s="31"/>
      <c r="U139" s="55" t="s">
        <v>1242</v>
      </c>
      <c r="V139" s="5"/>
      <c r="W139" s="40">
        <v>1</v>
      </c>
      <c r="X139" s="41" t="s">
        <v>594</v>
      </c>
      <c r="Y139" s="42" t="s">
        <v>256</v>
      </c>
      <c r="Z139" s="35">
        <v>0</v>
      </c>
      <c r="AA139" s="31"/>
      <c r="AB139" s="31" t="s">
        <v>1243</v>
      </c>
      <c r="AC139" s="5" t="s">
        <v>52</v>
      </c>
      <c r="AD139" s="31" t="s">
        <v>596</v>
      </c>
      <c r="AE139" s="36" t="s">
        <v>1177</v>
      </c>
      <c r="AF139" s="31" t="s">
        <v>292</v>
      </c>
      <c r="AG139" s="31" t="s">
        <v>118</v>
      </c>
      <c r="AH139" s="31" t="s">
        <v>67</v>
      </c>
      <c r="AI139" s="31"/>
      <c r="AJ139" s="31" t="s">
        <v>605</v>
      </c>
      <c r="AK139" s="31" t="s">
        <v>596</v>
      </c>
      <c r="AL139" s="31" t="s">
        <v>1063</v>
      </c>
      <c r="AM139" s="31"/>
      <c r="AN139" s="31"/>
      <c r="AO139" s="31"/>
      <c r="AP139" s="31"/>
      <c r="AQ139" s="31"/>
      <c r="AR139" s="31" t="s">
        <v>243</v>
      </c>
      <c r="AS139" s="30"/>
      <c r="AT139" s="37"/>
      <c r="AU139" s="37"/>
      <c r="AV139" s="37"/>
      <c r="AW139" s="37"/>
      <c r="AX139" s="37"/>
      <c r="AY139" s="38"/>
      <c r="AZ139" s="34">
        <v>30</v>
      </c>
      <c r="BA139" s="38"/>
      <c r="BB139" s="46"/>
      <c r="BC139" s="37"/>
      <c r="BD139" s="37"/>
      <c r="BE139" s="5"/>
      <c r="BF139" s="167" t="s">
        <v>1238</v>
      </c>
      <c r="BG139" s="55" t="s">
        <v>1244</v>
      </c>
      <c r="BH139" s="55"/>
      <c r="BI139" s="55" t="s">
        <v>1244</v>
      </c>
      <c r="BJ139" s="48"/>
      <c r="BK139" s="49">
        <v>1</v>
      </c>
    </row>
    <row x14ac:dyDescent="0.25" r="140" customHeight="1" ht="40.5">
      <c r="A140" s="30">
        <v>30057</v>
      </c>
      <c r="B140" s="5" t="s">
        <v>1245</v>
      </c>
      <c r="C140" s="31" t="s">
        <v>1246</v>
      </c>
      <c r="D140" s="31" t="s">
        <v>1247</v>
      </c>
      <c r="E140" s="5"/>
      <c r="F140" s="5" t="s">
        <v>577</v>
      </c>
      <c r="G140" s="5" t="s">
        <v>589</v>
      </c>
      <c r="H140" s="31" t="s">
        <v>386</v>
      </c>
      <c r="I140" s="32"/>
      <c r="J140" s="32"/>
      <c r="K140" s="5"/>
      <c r="L140" s="5"/>
      <c r="M140" s="5" t="s">
        <v>820</v>
      </c>
      <c r="N140" s="5" t="s">
        <v>726</v>
      </c>
      <c r="O140" s="33" t="s">
        <v>1248</v>
      </c>
      <c r="P140" s="31"/>
      <c r="Q140" s="1" t="s">
        <v>251</v>
      </c>
      <c r="R140" s="31" t="s">
        <v>755</v>
      </c>
      <c r="S140" s="31" t="s">
        <v>1077</v>
      </c>
      <c r="T140" s="31"/>
      <c r="U140" s="55" t="s">
        <v>1249</v>
      </c>
      <c r="V140" s="5"/>
      <c r="W140" s="40">
        <v>1</v>
      </c>
      <c r="X140" s="41" t="s">
        <v>594</v>
      </c>
      <c r="Y140" s="42" t="s">
        <v>1250</v>
      </c>
      <c r="Z140" s="35">
        <v>0</v>
      </c>
      <c r="AA140" s="31"/>
      <c r="AB140" s="31" t="s">
        <v>1251</v>
      </c>
      <c r="AC140" s="5" t="s">
        <v>38</v>
      </c>
      <c r="AD140" s="31" t="s">
        <v>596</v>
      </c>
      <c r="AE140" s="36" t="s">
        <v>1177</v>
      </c>
      <c r="AF140" s="31" t="s">
        <v>292</v>
      </c>
      <c r="AG140" s="31" t="s">
        <v>123</v>
      </c>
      <c r="AH140" s="31" t="s">
        <v>27</v>
      </c>
      <c r="AI140" s="31"/>
      <c r="AJ140" s="31" t="s">
        <v>605</v>
      </c>
      <c r="AK140" s="31" t="s">
        <v>596</v>
      </c>
      <c r="AL140" s="31" t="s">
        <v>1063</v>
      </c>
      <c r="AM140" s="31"/>
      <c r="AN140" s="31"/>
      <c r="AO140" s="31"/>
      <c r="AP140" s="31"/>
      <c r="AQ140" s="31"/>
      <c r="AR140" s="31" t="s">
        <v>243</v>
      </c>
      <c r="AS140" s="30"/>
      <c r="AT140" s="37"/>
      <c r="AU140" s="37"/>
      <c r="AV140" s="37"/>
      <c r="AW140" s="37"/>
      <c r="AX140" s="37"/>
      <c r="AY140" s="38"/>
      <c r="AZ140" s="34">
        <v>31</v>
      </c>
      <c r="BA140" s="38"/>
      <c r="BB140" s="46"/>
      <c r="BC140" s="37"/>
      <c r="BD140" s="37"/>
      <c r="BE140" s="5"/>
      <c r="BF140" s="167" t="s">
        <v>1245</v>
      </c>
      <c r="BG140" s="52" t="s">
        <v>1252</v>
      </c>
      <c r="BH140" s="52"/>
      <c r="BI140" s="52" t="s">
        <v>1252</v>
      </c>
      <c r="BJ140" s="48"/>
      <c r="BK140" s="30">
        <v>1</v>
      </c>
    </row>
    <row x14ac:dyDescent="0.25" r="141" customHeight="1" ht="31.5">
      <c r="A141" s="30">
        <v>30058</v>
      </c>
      <c r="B141" s="5" t="s">
        <v>1253</v>
      </c>
      <c r="C141" s="31" t="s">
        <v>1254</v>
      </c>
      <c r="D141" s="31" t="s">
        <v>1255</v>
      </c>
      <c r="E141" s="5"/>
      <c r="F141" s="5" t="s">
        <v>226</v>
      </c>
      <c r="G141" s="5" t="s">
        <v>589</v>
      </c>
      <c r="H141" s="31" t="s">
        <v>386</v>
      </c>
      <c r="I141" s="32"/>
      <c r="J141" s="32"/>
      <c r="K141" s="5"/>
      <c r="L141" s="5"/>
      <c r="M141" s="5" t="s">
        <v>820</v>
      </c>
      <c r="N141" s="5" t="s">
        <v>726</v>
      </c>
      <c r="O141" s="53" t="s">
        <v>1256</v>
      </c>
      <c r="P141" s="31"/>
      <c r="Q141" s="1" t="s">
        <v>251</v>
      </c>
      <c r="R141" s="31" t="s">
        <v>591</v>
      </c>
      <c r="S141" s="31" t="s">
        <v>1077</v>
      </c>
      <c r="T141" s="31"/>
      <c r="U141" s="55" t="s">
        <v>1257</v>
      </c>
      <c r="V141" s="5"/>
      <c r="W141" s="40">
        <v>1</v>
      </c>
      <c r="X141" s="41" t="s">
        <v>594</v>
      </c>
      <c r="Y141" s="42" t="s">
        <v>256</v>
      </c>
      <c r="Z141" s="35">
        <v>0</v>
      </c>
      <c r="AA141" s="31"/>
      <c r="AB141" s="31" t="s">
        <v>1258</v>
      </c>
      <c r="AC141" s="5" t="s">
        <v>52</v>
      </c>
      <c r="AD141" s="31" t="s">
        <v>596</v>
      </c>
      <c r="AE141" s="36" t="s">
        <v>1177</v>
      </c>
      <c r="AF141" s="31" t="s">
        <v>292</v>
      </c>
      <c r="AG141" s="31" t="s">
        <v>127</v>
      </c>
      <c r="AH141" s="31" t="s">
        <v>67</v>
      </c>
      <c r="AI141" s="31"/>
      <c r="AJ141" s="31" t="s">
        <v>605</v>
      </c>
      <c r="AK141" s="31" t="s">
        <v>596</v>
      </c>
      <c r="AL141" s="31" t="s">
        <v>1063</v>
      </c>
      <c r="AM141" s="31"/>
      <c r="AN141" s="31"/>
      <c r="AO141" s="31"/>
      <c r="AP141" s="31"/>
      <c r="AQ141" s="31"/>
      <c r="AR141" s="31" t="s">
        <v>243</v>
      </c>
      <c r="AS141" s="30"/>
      <c r="AT141" s="37"/>
      <c r="AU141" s="37"/>
      <c r="AV141" s="37"/>
      <c r="AW141" s="37"/>
      <c r="AX141" s="37"/>
      <c r="AY141" s="38"/>
      <c r="AZ141" s="34">
        <v>32</v>
      </c>
      <c r="BA141" s="38"/>
      <c r="BB141" s="46"/>
      <c r="BC141" s="37"/>
      <c r="BD141" s="37"/>
      <c r="BE141" s="5"/>
      <c r="BF141" s="167" t="s">
        <v>1253</v>
      </c>
      <c r="BG141" s="52" t="s">
        <v>1259</v>
      </c>
      <c r="BH141" s="52"/>
      <c r="BI141" s="52" t="s">
        <v>1259</v>
      </c>
      <c r="BJ141" s="48"/>
      <c r="BK141" s="49">
        <v>1</v>
      </c>
    </row>
    <row x14ac:dyDescent="0.25" r="142" customHeight="1" ht="31.5">
      <c r="A142" s="30">
        <v>30063</v>
      </c>
      <c r="B142" s="5" t="s">
        <v>1260</v>
      </c>
      <c r="C142" s="31" t="s">
        <v>1261</v>
      </c>
      <c r="D142" s="31" t="s">
        <v>1262</v>
      </c>
      <c r="E142" s="5"/>
      <c r="F142" s="5" t="s">
        <v>226</v>
      </c>
      <c r="G142" s="5" t="s">
        <v>589</v>
      </c>
      <c r="H142" s="31" t="s">
        <v>386</v>
      </c>
      <c r="I142" s="32"/>
      <c r="J142" s="32"/>
      <c r="K142" s="5"/>
      <c r="L142" s="5"/>
      <c r="M142" s="5" t="s">
        <v>820</v>
      </c>
      <c r="N142" s="5" t="s">
        <v>726</v>
      </c>
      <c r="O142" s="53" t="s">
        <v>1263</v>
      </c>
      <c r="P142" s="31"/>
      <c r="Q142" s="1" t="s">
        <v>251</v>
      </c>
      <c r="R142" s="31" t="s">
        <v>755</v>
      </c>
      <c r="S142" s="31" t="s">
        <v>1077</v>
      </c>
      <c r="T142" s="31"/>
      <c r="U142" s="31" t="s">
        <v>1264</v>
      </c>
      <c r="V142" s="5"/>
      <c r="W142" s="40">
        <v>1</v>
      </c>
      <c r="X142" s="41" t="s">
        <v>594</v>
      </c>
      <c r="Y142" s="5" t="s">
        <v>256</v>
      </c>
      <c r="Z142" s="35">
        <v>0</v>
      </c>
      <c r="AA142" s="31"/>
      <c r="AB142" s="31" t="s">
        <v>1265</v>
      </c>
      <c r="AC142" s="5" t="s">
        <v>52</v>
      </c>
      <c r="AD142" s="31" t="s">
        <v>596</v>
      </c>
      <c r="AE142" s="169" t="s">
        <v>1177</v>
      </c>
      <c r="AF142" s="31" t="s">
        <v>292</v>
      </c>
      <c r="AG142" s="31" t="s">
        <v>130</v>
      </c>
      <c r="AH142" s="31" t="s">
        <v>67</v>
      </c>
      <c r="AI142" s="31"/>
      <c r="AJ142" s="31" t="s">
        <v>605</v>
      </c>
      <c r="AK142" s="31" t="s">
        <v>596</v>
      </c>
      <c r="AL142" s="31" t="s">
        <v>1063</v>
      </c>
      <c r="AM142" s="31"/>
      <c r="AN142" s="31"/>
      <c r="AO142" s="31"/>
      <c r="AP142" s="31"/>
      <c r="AQ142" s="31"/>
      <c r="AR142" s="31" t="s">
        <v>243</v>
      </c>
      <c r="AS142" s="30"/>
      <c r="AT142" s="37"/>
      <c r="AU142" s="37"/>
      <c r="AV142" s="37"/>
      <c r="AW142" s="37"/>
      <c r="AX142" s="37"/>
      <c r="AY142" s="38"/>
      <c r="AZ142" s="34">
        <v>33</v>
      </c>
      <c r="BA142" s="38"/>
      <c r="BB142" s="46"/>
      <c r="BC142" s="37"/>
      <c r="BD142" s="37"/>
      <c r="BE142" s="5"/>
      <c r="BF142" s="167" t="s">
        <v>1260</v>
      </c>
      <c r="BG142" s="52" t="s">
        <v>1266</v>
      </c>
      <c r="BH142" s="52"/>
      <c r="BI142" s="52" t="s">
        <v>1266</v>
      </c>
      <c r="BJ142" s="48"/>
      <c r="BK142" s="30">
        <v>1</v>
      </c>
    </row>
    <row x14ac:dyDescent="0.25" r="143" customHeight="1" ht="31.5">
      <c r="A143" s="30">
        <v>30064</v>
      </c>
      <c r="B143" s="5" t="s">
        <v>1267</v>
      </c>
      <c r="C143" s="31" t="s">
        <v>1268</v>
      </c>
      <c r="D143" s="31" t="s">
        <v>1269</v>
      </c>
      <c r="E143" s="5"/>
      <c r="F143" s="5" t="s">
        <v>226</v>
      </c>
      <c r="G143" s="5" t="s">
        <v>589</v>
      </c>
      <c r="H143" s="31" t="s">
        <v>386</v>
      </c>
      <c r="I143" s="32"/>
      <c r="J143" s="32"/>
      <c r="K143" s="5"/>
      <c r="L143" s="5"/>
      <c r="M143" s="5" t="s">
        <v>820</v>
      </c>
      <c r="N143" s="5" t="s">
        <v>726</v>
      </c>
      <c r="O143" s="53" t="s">
        <v>1270</v>
      </c>
      <c r="P143" s="31"/>
      <c r="Q143" s="1" t="s">
        <v>251</v>
      </c>
      <c r="R143" s="31" t="s">
        <v>591</v>
      </c>
      <c r="S143" s="31" t="s">
        <v>1077</v>
      </c>
      <c r="T143" s="31"/>
      <c r="U143" s="31" t="s">
        <v>1271</v>
      </c>
      <c r="V143" s="5"/>
      <c r="W143" s="40">
        <v>1</v>
      </c>
      <c r="X143" s="41" t="s">
        <v>594</v>
      </c>
      <c r="Y143" s="5" t="s">
        <v>256</v>
      </c>
      <c r="Z143" s="35">
        <v>0</v>
      </c>
      <c r="AA143" s="31" t="s">
        <v>1272</v>
      </c>
      <c r="AB143" s="31" t="s">
        <v>1273</v>
      </c>
      <c r="AC143" s="5" t="s">
        <v>52</v>
      </c>
      <c r="AD143" s="31" t="s">
        <v>596</v>
      </c>
      <c r="AE143" s="36" t="s">
        <v>1177</v>
      </c>
      <c r="AF143" s="31" t="s">
        <v>292</v>
      </c>
      <c r="AG143" s="31" t="s">
        <v>134</v>
      </c>
      <c r="AH143" s="31" t="s">
        <v>67</v>
      </c>
      <c r="AI143" s="31"/>
      <c r="AJ143" s="31" t="s">
        <v>605</v>
      </c>
      <c r="AK143" s="31" t="s">
        <v>596</v>
      </c>
      <c r="AL143" s="31" t="s">
        <v>1063</v>
      </c>
      <c r="AM143" s="31"/>
      <c r="AN143" s="31"/>
      <c r="AO143" s="31"/>
      <c r="AP143" s="31"/>
      <c r="AQ143" s="31"/>
      <c r="AR143" s="31"/>
      <c r="AS143" s="30"/>
      <c r="AT143" s="37"/>
      <c r="AU143" s="37"/>
      <c r="AV143" s="37"/>
      <c r="AW143" s="37"/>
      <c r="AX143" s="37"/>
      <c r="AY143" s="38"/>
      <c r="AZ143" s="34">
        <v>34</v>
      </c>
      <c r="BA143" s="38"/>
      <c r="BB143" s="46"/>
      <c r="BC143" s="37"/>
      <c r="BD143" s="37"/>
      <c r="BE143" s="5"/>
      <c r="BF143" s="167" t="s">
        <v>1267</v>
      </c>
      <c r="BG143" s="52" t="s">
        <v>1274</v>
      </c>
      <c r="BH143" s="52"/>
      <c r="BI143" s="52" t="s">
        <v>1274</v>
      </c>
      <c r="BJ143" s="48"/>
      <c r="BK143" s="49">
        <v>1</v>
      </c>
    </row>
    <row x14ac:dyDescent="0.25" r="144" customHeight="1" ht="31.5">
      <c r="A144" s="30">
        <v>31054</v>
      </c>
      <c r="B144" s="5" t="s">
        <v>1275</v>
      </c>
      <c r="C144" s="31" t="s">
        <v>1276</v>
      </c>
      <c r="D144" s="31" t="s">
        <v>1277</v>
      </c>
      <c r="E144" s="5"/>
      <c r="F144" s="5" t="s">
        <v>577</v>
      </c>
      <c r="G144" s="5" t="s">
        <v>589</v>
      </c>
      <c r="H144" s="31" t="s">
        <v>386</v>
      </c>
      <c r="I144" s="32"/>
      <c r="J144" s="32"/>
      <c r="K144" s="5"/>
      <c r="L144" s="5"/>
      <c r="M144" s="5" t="s">
        <v>820</v>
      </c>
      <c r="N144" s="5" t="s">
        <v>1278</v>
      </c>
      <c r="O144" s="33"/>
      <c r="P144" s="31"/>
      <c r="Q144" s="1" t="s">
        <v>251</v>
      </c>
      <c r="R144" s="31" t="s">
        <v>591</v>
      </c>
      <c r="S144" s="31" t="s">
        <v>1279</v>
      </c>
      <c r="T144" s="31"/>
      <c r="U144" s="55" t="s">
        <v>1280</v>
      </c>
      <c r="V144" s="5"/>
      <c r="W144" s="40">
        <v>1</v>
      </c>
      <c r="X144" s="41" t="s">
        <v>594</v>
      </c>
      <c r="Y144" s="42" t="s">
        <v>1101</v>
      </c>
      <c r="Z144" s="34">
        <v>0</v>
      </c>
      <c r="AA144" s="31"/>
      <c r="AB144" s="31" t="s">
        <v>1281</v>
      </c>
      <c r="AC144" s="5" t="s">
        <v>38</v>
      </c>
      <c r="AD144" s="31" t="s">
        <v>596</v>
      </c>
      <c r="AE144" s="36" t="s">
        <v>1282</v>
      </c>
      <c r="AF144" s="31" t="s">
        <v>1283</v>
      </c>
      <c r="AG144" s="31"/>
      <c r="AH144" s="31" t="s">
        <v>27</v>
      </c>
      <c r="AI144" s="31"/>
      <c r="AJ144" s="31" t="s">
        <v>605</v>
      </c>
      <c r="AK144" s="31" t="s">
        <v>596</v>
      </c>
      <c r="AL144" s="31" t="s">
        <v>1063</v>
      </c>
      <c r="AM144" s="31"/>
      <c r="AN144" s="31"/>
      <c r="AO144" s="31"/>
      <c r="AP144" s="31"/>
      <c r="AQ144" s="31"/>
      <c r="AR144" s="31"/>
      <c r="AS144" s="30"/>
      <c r="AT144" s="37"/>
      <c r="AU144" s="37"/>
      <c r="AV144" s="37"/>
      <c r="AW144" s="37"/>
      <c r="AX144" s="37"/>
      <c r="AY144" s="38"/>
      <c r="AZ144" s="34">
        <v>35</v>
      </c>
      <c r="BA144" s="38"/>
      <c r="BB144" s="46"/>
      <c r="BC144" s="37"/>
      <c r="BD144" s="37"/>
      <c r="BE144" s="5"/>
      <c r="BF144" s="167" t="s">
        <v>1284</v>
      </c>
      <c r="BG144" s="55" t="s">
        <v>1285</v>
      </c>
      <c r="BH144" s="31"/>
      <c r="BI144" s="31" t="s">
        <v>1285</v>
      </c>
      <c r="BJ144" s="48"/>
      <c r="BK144" s="30">
        <v>1</v>
      </c>
    </row>
    <row x14ac:dyDescent="0.25" r="145" customHeight="1" ht="31.5">
      <c r="A145" s="30">
        <v>31053</v>
      </c>
      <c r="B145" s="5" t="s">
        <v>1286</v>
      </c>
      <c r="C145" s="31" t="s">
        <v>1287</v>
      </c>
      <c r="D145" s="31" t="s">
        <v>1288</v>
      </c>
      <c r="E145" s="5"/>
      <c r="F145" s="5" t="s">
        <v>226</v>
      </c>
      <c r="G145" s="5" t="s">
        <v>589</v>
      </c>
      <c r="H145" s="31" t="s">
        <v>386</v>
      </c>
      <c r="I145" s="32"/>
      <c r="J145" s="32"/>
      <c r="K145" s="5"/>
      <c r="L145" s="5"/>
      <c r="M145" s="5" t="s">
        <v>820</v>
      </c>
      <c r="N145" s="5" t="s">
        <v>1278</v>
      </c>
      <c r="O145" s="33"/>
      <c r="P145" s="31"/>
      <c r="Q145" s="1" t="s">
        <v>251</v>
      </c>
      <c r="R145" s="31" t="s">
        <v>591</v>
      </c>
      <c r="S145" s="31" t="s">
        <v>1279</v>
      </c>
      <c r="T145" s="31"/>
      <c r="U145" s="55" t="s">
        <v>1289</v>
      </c>
      <c r="V145" s="5"/>
      <c r="W145" s="40">
        <v>1</v>
      </c>
      <c r="X145" s="41" t="s">
        <v>594</v>
      </c>
      <c r="Y145" s="42" t="s">
        <v>256</v>
      </c>
      <c r="Z145" s="34">
        <v>0</v>
      </c>
      <c r="AA145" s="31"/>
      <c r="AB145" s="31" t="s">
        <v>1290</v>
      </c>
      <c r="AC145" s="5" t="s">
        <v>52</v>
      </c>
      <c r="AD145" s="31" t="s">
        <v>596</v>
      </c>
      <c r="AE145" s="36" t="s">
        <v>1282</v>
      </c>
      <c r="AF145" s="31" t="s">
        <v>1291</v>
      </c>
      <c r="AG145" s="31"/>
      <c r="AH145" s="31"/>
      <c r="AI145" s="31"/>
      <c r="AJ145" s="31" t="s">
        <v>605</v>
      </c>
      <c r="AK145" s="31" t="s">
        <v>596</v>
      </c>
      <c r="AL145" s="31" t="s">
        <v>1063</v>
      </c>
      <c r="AM145" s="31"/>
      <c r="AN145" s="31"/>
      <c r="AO145" s="31"/>
      <c r="AP145" s="31"/>
      <c r="AQ145" s="31"/>
      <c r="AR145" s="31"/>
      <c r="AS145" s="30"/>
      <c r="AT145" s="37"/>
      <c r="AU145" s="37"/>
      <c r="AV145" s="37"/>
      <c r="AW145" s="37"/>
      <c r="AX145" s="37"/>
      <c r="AY145" s="38"/>
      <c r="AZ145" s="34">
        <v>36</v>
      </c>
      <c r="BA145" s="38"/>
      <c r="BB145" s="46"/>
      <c r="BC145" s="37"/>
      <c r="BD145" s="37"/>
      <c r="BE145" s="5"/>
      <c r="BF145" s="167" t="s">
        <v>1292</v>
      </c>
      <c r="BG145" s="55" t="s">
        <v>1293</v>
      </c>
      <c r="BH145" s="31"/>
      <c r="BI145" s="31" t="s">
        <v>1293</v>
      </c>
      <c r="BJ145" s="48"/>
      <c r="BK145" s="49">
        <v>1</v>
      </c>
    </row>
    <row x14ac:dyDescent="0.25" r="146" customHeight="1" ht="31.5">
      <c r="A146" s="30">
        <v>30066</v>
      </c>
      <c r="B146" s="5" t="s">
        <v>1294</v>
      </c>
      <c r="C146" s="31" t="s">
        <v>1295</v>
      </c>
      <c r="D146" s="31" t="s">
        <v>1296</v>
      </c>
      <c r="E146" s="5"/>
      <c r="F146" s="5" t="s">
        <v>1297</v>
      </c>
      <c r="G146" s="5" t="s">
        <v>589</v>
      </c>
      <c r="H146" s="31" t="s">
        <v>386</v>
      </c>
      <c r="I146" s="32"/>
      <c r="J146" s="32"/>
      <c r="K146" s="5"/>
      <c r="L146" s="5"/>
      <c r="M146" s="5" t="s">
        <v>820</v>
      </c>
      <c r="N146" s="5" t="s">
        <v>1278</v>
      </c>
      <c r="O146" s="33"/>
      <c r="P146" s="31"/>
      <c r="Q146" s="1" t="s">
        <v>251</v>
      </c>
      <c r="R146" s="31" t="s">
        <v>591</v>
      </c>
      <c r="S146" s="31" t="s">
        <v>1279</v>
      </c>
      <c r="T146" s="31"/>
      <c r="U146" s="55" t="s">
        <v>1295</v>
      </c>
      <c r="V146" s="5"/>
      <c r="W146" s="40">
        <v>1</v>
      </c>
      <c r="X146" s="41" t="s">
        <v>594</v>
      </c>
      <c r="Y146" s="42"/>
      <c r="Z146" s="34">
        <v>0</v>
      </c>
      <c r="AA146" s="31"/>
      <c r="AB146" s="31" t="s">
        <v>1298</v>
      </c>
      <c r="AC146" s="5" t="s">
        <v>24</v>
      </c>
      <c r="AD146" s="31" t="s">
        <v>596</v>
      </c>
      <c r="AE146" s="36" t="s">
        <v>1282</v>
      </c>
      <c r="AF146" s="31" t="s">
        <v>1299</v>
      </c>
      <c r="AG146" s="31"/>
      <c r="AH146" s="31"/>
      <c r="AI146" s="31"/>
      <c r="AJ146" s="31" t="s">
        <v>605</v>
      </c>
      <c r="AK146" s="31" t="s">
        <v>596</v>
      </c>
      <c r="AL146" s="31" t="s">
        <v>1063</v>
      </c>
      <c r="AM146" s="31"/>
      <c r="AN146" s="31"/>
      <c r="AO146" s="31"/>
      <c r="AP146" s="31"/>
      <c r="AQ146" s="31"/>
      <c r="AR146" s="31"/>
      <c r="AS146" s="30"/>
      <c r="AT146" s="37"/>
      <c r="AU146" s="37"/>
      <c r="AV146" s="37"/>
      <c r="AW146" s="37"/>
      <c r="AX146" s="37"/>
      <c r="AY146" s="38"/>
      <c r="AZ146" s="34">
        <v>37</v>
      </c>
      <c r="BA146" s="38"/>
      <c r="BB146" s="46"/>
      <c r="BC146" s="37"/>
      <c r="BD146" s="37"/>
      <c r="BE146" s="5"/>
      <c r="BF146" s="167" t="s">
        <v>1300</v>
      </c>
      <c r="BG146" s="55" t="s">
        <v>1301</v>
      </c>
      <c r="BH146" s="31"/>
      <c r="BI146" s="31" t="s">
        <v>1301</v>
      </c>
      <c r="BJ146" s="48"/>
      <c r="BK146" s="30">
        <v>1</v>
      </c>
    </row>
    <row x14ac:dyDescent="0.25" r="147" customHeight="1" ht="31.5">
      <c r="A147" s="30">
        <v>31052</v>
      </c>
      <c r="B147" s="5" t="s">
        <v>1302</v>
      </c>
      <c r="C147" s="31" t="s">
        <v>1303</v>
      </c>
      <c r="D147" s="31" t="s">
        <v>1304</v>
      </c>
      <c r="E147" s="5"/>
      <c r="F147" s="5" t="s">
        <v>577</v>
      </c>
      <c r="G147" s="5" t="s">
        <v>589</v>
      </c>
      <c r="H147" s="31" t="s">
        <v>386</v>
      </c>
      <c r="I147" s="32"/>
      <c r="J147" s="32"/>
      <c r="K147" s="5"/>
      <c r="L147" s="5"/>
      <c r="M147" s="5" t="s">
        <v>820</v>
      </c>
      <c r="N147" s="5" t="s">
        <v>1278</v>
      </c>
      <c r="O147" s="33"/>
      <c r="P147" s="31"/>
      <c r="Q147" s="1" t="s">
        <v>251</v>
      </c>
      <c r="R147" s="31" t="s">
        <v>591</v>
      </c>
      <c r="S147" s="31" t="s">
        <v>1279</v>
      </c>
      <c r="T147" s="31"/>
      <c r="U147" s="55" t="s">
        <v>1305</v>
      </c>
      <c r="V147" s="5"/>
      <c r="W147" s="40">
        <v>1</v>
      </c>
      <c r="X147" s="41" t="s">
        <v>594</v>
      </c>
      <c r="Y147" s="42" t="s">
        <v>1101</v>
      </c>
      <c r="Z147" s="34">
        <v>0</v>
      </c>
      <c r="AA147" s="31"/>
      <c r="AB147" s="31" t="s">
        <v>1306</v>
      </c>
      <c r="AC147" s="5" t="s">
        <v>38</v>
      </c>
      <c r="AD147" s="31" t="s">
        <v>596</v>
      </c>
      <c r="AE147" s="36" t="s">
        <v>1282</v>
      </c>
      <c r="AF147" s="31" t="s">
        <v>1307</v>
      </c>
      <c r="AG147" s="31"/>
      <c r="AH147" s="31" t="s">
        <v>27</v>
      </c>
      <c r="AI147" s="31"/>
      <c r="AJ147" s="31" t="s">
        <v>605</v>
      </c>
      <c r="AK147" s="31" t="s">
        <v>596</v>
      </c>
      <c r="AL147" s="31" t="s">
        <v>1063</v>
      </c>
      <c r="AM147" s="31"/>
      <c r="AN147" s="31"/>
      <c r="AO147" s="31"/>
      <c r="AP147" s="31"/>
      <c r="AQ147" s="31"/>
      <c r="AR147" s="31"/>
      <c r="AS147" s="30"/>
      <c r="AT147" s="37"/>
      <c r="AU147" s="37"/>
      <c r="AV147" s="37"/>
      <c r="AW147" s="37"/>
      <c r="AX147" s="37"/>
      <c r="AY147" s="38"/>
      <c r="AZ147" s="34">
        <v>38</v>
      </c>
      <c r="BA147" s="38"/>
      <c r="BB147" s="46"/>
      <c r="BC147" s="37"/>
      <c r="BD147" s="37"/>
      <c r="BE147" s="5"/>
      <c r="BF147" s="167" t="s">
        <v>1308</v>
      </c>
      <c r="BG147" s="55" t="s">
        <v>1309</v>
      </c>
      <c r="BH147" s="31"/>
      <c r="BI147" s="31" t="s">
        <v>1309</v>
      </c>
      <c r="BJ147" s="48"/>
      <c r="BK147" s="49">
        <v>1</v>
      </c>
    </row>
    <row x14ac:dyDescent="0.25" r="148" customHeight="1" ht="49.5">
      <c r="A148" s="30">
        <v>30065</v>
      </c>
      <c r="B148" s="5" t="s">
        <v>1310</v>
      </c>
      <c r="C148" s="31" t="s">
        <v>1311</v>
      </c>
      <c r="D148" s="31" t="s">
        <v>1312</v>
      </c>
      <c r="E148" s="5"/>
      <c r="F148" s="5" t="s">
        <v>577</v>
      </c>
      <c r="G148" s="5" t="s">
        <v>589</v>
      </c>
      <c r="H148" s="31" t="s">
        <v>386</v>
      </c>
      <c r="I148" s="32"/>
      <c r="J148" s="32"/>
      <c r="K148" s="5"/>
      <c r="L148" s="5"/>
      <c r="M148" s="5" t="s">
        <v>820</v>
      </c>
      <c r="N148" s="5" t="s">
        <v>1278</v>
      </c>
      <c r="O148" s="33"/>
      <c r="P148" s="31"/>
      <c r="Q148" s="1" t="s">
        <v>251</v>
      </c>
      <c r="R148" s="31" t="s">
        <v>591</v>
      </c>
      <c r="S148" s="31" t="s">
        <v>1279</v>
      </c>
      <c r="T148" s="31"/>
      <c r="U148" s="55" t="s">
        <v>1313</v>
      </c>
      <c r="V148" s="5"/>
      <c r="W148" s="40">
        <v>1</v>
      </c>
      <c r="X148" s="41" t="s">
        <v>594</v>
      </c>
      <c r="Y148" s="42" t="s">
        <v>256</v>
      </c>
      <c r="Z148" s="34">
        <v>0</v>
      </c>
      <c r="AA148" s="31"/>
      <c r="AB148" s="31" t="s">
        <v>1314</v>
      </c>
      <c r="AC148" s="5" t="s">
        <v>52</v>
      </c>
      <c r="AD148" s="31" t="s">
        <v>596</v>
      </c>
      <c r="AE148" s="36" t="s">
        <v>1282</v>
      </c>
      <c r="AF148" s="31" t="s">
        <v>1315</v>
      </c>
      <c r="AG148" s="31"/>
      <c r="AH148" s="31"/>
      <c r="AI148" s="31"/>
      <c r="AJ148" s="31" t="s">
        <v>605</v>
      </c>
      <c r="AK148" s="31" t="s">
        <v>596</v>
      </c>
      <c r="AL148" s="31" t="s">
        <v>1063</v>
      </c>
      <c r="AM148" s="31"/>
      <c r="AN148" s="31"/>
      <c r="AO148" s="31"/>
      <c r="AP148" s="31"/>
      <c r="AQ148" s="31"/>
      <c r="AR148" s="31"/>
      <c r="AS148" s="30"/>
      <c r="AT148" s="37"/>
      <c r="AU148" s="37"/>
      <c r="AV148" s="37"/>
      <c r="AW148" s="37"/>
      <c r="AX148" s="37"/>
      <c r="AY148" s="38"/>
      <c r="AZ148" s="34">
        <v>39</v>
      </c>
      <c r="BA148" s="38"/>
      <c r="BB148" s="46"/>
      <c r="BC148" s="37"/>
      <c r="BD148" s="37"/>
      <c r="BE148" s="5"/>
      <c r="BF148" s="167" t="s">
        <v>1316</v>
      </c>
      <c r="BG148" s="55" t="s">
        <v>1317</v>
      </c>
      <c r="BH148" s="31"/>
      <c r="BI148" s="31" t="s">
        <v>1317</v>
      </c>
      <c r="BJ148" s="48"/>
      <c r="BK148" s="30">
        <v>1</v>
      </c>
    </row>
    <row x14ac:dyDescent="0.25" r="149" customHeight="1" ht="52.5">
      <c r="A149" s="30" t="s">
        <v>1318</v>
      </c>
      <c r="B149" s="5" t="s">
        <v>1319</v>
      </c>
      <c r="C149" s="31" t="s">
        <v>1320</v>
      </c>
      <c r="D149" s="31" t="s">
        <v>1321</v>
      </c>
      <c r="E149" s="5"/>
      <c r="F149" s="5" t="s">
        <v>1297</v>
      </c>
      <c r="G149" s="5" t="s">
        <v>589</v>
      </c>
      <c r="H149" s="31" t="s">
        <v>386</v>
      </c>
      <c r="I149" s="32"/>
      <c r="J149" s="32"/>
      <c r="K149" s="5"/>
      <c r="L149" s="5"/>
      <c r="M149" s="5" t="s">
        <v>820</v>
      </c>
      <c r="N149" s="5" t="s">
        <v>1278</v>
      </c>
      <c r="O149" s="33"/>
      <c r="P149" s="31"/>
      <c r="Q149" s="1" t="s">
        <v>251</v>
      </c>
      <c r="R149" s="31" t="s">
        <v>591</v>
      </c>
      <c r="S149" s="31" t="s">
        <v>1279</v>
      </c>
      <c r="T149" s="31"/>
      <c r="U149" s="55" t="s">
        <v>1320</v>
      </c>
      <c r="V149" s="5"/>
      <c r="W149" s="40">
        <v>1</v>
      </c>
      <c r="X149" s="41" t="s">
        <v>594</v>
      </c>
      <c r="Y149" s="42"/>
      <c r="Z149" s="35">
        <v>0</v>
      </c>
      <c r="AA149" s="31"/>
      <c r="AB149" s="31" t="s">
        <v>1322</v>
      </c>
      <c r="AC149" s="5" t="s">
        <v>24</v>
      </c>
      <c r="AD149" s="31" t="s">
        <v>596</v>
      </c>
      <c r="AE149" s="36" t="s">
        <v>1282</v>
      </c>
      <c r="AF149" s="31" t="s">
        <v>1323</v>
      </c>
      <c r="AG149" s="31"/>
      <c r="AH149" s="31"/>
      <c r="AI149" s="31"/>
      <c r="AJ149" s="31" t="s">
        <v>605</v>
      </c>
      <c r="AK149" s="31" t="s">
        <v>596</v>
      </c>
      <c r="AL149" s="31" t="s">
        <v>1063</v>
      </c>
      <c r="AM149" s="31"/>
      <c r="AN149" s="31"/>
      <c r="AO149" s="31"/>
      <c r="AP149" s="31"/>
      <c r="AQ149" s="31"/>
      <c r="AR149" s="31"/>
      <c r="AS149" s="30"/>
      <c r="AT149" s="37"/>
      <c r="AU149" s="37"/>
      <c r="AV149" s="37"/>
      <c r="AW149" s="37"/>
      <c r="AX149" s="37"/>
      <c r="AY149" s="38"/>
      <c r="AZ149" s="34">
        <v>40</v>
      </c>
      <c r="BA149" s="38"/>
      <c r="BB149" s="46"/>
      <c r="BC149" s="37"/>
      <c r="BD149" s="37"/>
      <c r="BE149" s="5"/>
      <c r="BF149" s="167" t="s">
        <v>1324</v>
      </c>
      <c r="BG149" s="55" t="s">
        <v>1325</v>
      </c>
      <c r="BH149" s="31"/>
      <c r="BI149" s="31" t="s">
        <v>1325</v>
      </c>
      <c r="BJ149" s="48"/>
      <c r="BK149" s="30">
        <v>1</v>
      </c>
    </row>
    <row x14ac:dyDescent="0.25" r="150" customHeight="1" ht="31.5">
      <c r="A150" s="30" t="s">
        <v>1326</v>
      </c>
      <c r="B150" s="5" t="s">
        <v>1327</v>
      </c>
      <c r="C150" s="31" t="s">
        <v>580</v>
      </c>
      <c r="D150" s="31" t="s">
        <v>1328</v>
      </c>
      <c r="E150" s="5"/>
      <c r="F150" s="5" t="s">
        <v>637</v>
      </c>
      <c r="G150" s="5" t="s">
        <v>1329</v>
      </c>
      <c r="H150" s="31" t="s">
        <v>1330</v>
      </c>
      <c r="I150" s="32"/>
      <c r="J150" s="32"/>
      <c r="K150" s="5"/>
      <c r="L150" s="5"/>
      <c r="M150" s="5" t="s">
        <v>231</v>
      </c>
      <c r="N150" s="5" t="s">
        <v>580</v>
      </c>
      <c r="O150" s="33"/>
      <c r="P150" s="5"/>
      <c r="Q150" s="1" t="s">
        <v>251</v>
      </c>
      <c r="R150" s="31" t="s">
        <v>286</v>
      </c>
      <c r="S150" s="31"/>
      <c r="T150" s="31"/>
      <c r="U150" s="31" t="s">
        <v>1331</v>
      </c>
      <c r="V150" s="5"/>
      <c r="W150" s="40">
        <v>1</v>
      </c>
      <c r="X150" s="41" t="s">
        <v>581</v>
      </c>
      <c r="Y150" s="42"/>
      <c r="Z150" s="35">
        <v>0</v>
      </c>
      <c r="AA150" s="31" t="s">
        <v>1332</v>
      </c>
      <c r="AB150" s="31" t="s">
        <v>1333</v>
      </c>
      <c r="AC150" s="5" t="s">
        <v>24</v>
      </c>
      <c r="AD150" s="5" t="s">
        <v>259</v>
      </c>
      <c r="AE150" s="36" t="s">
        <v>1334</v>
      </c>
      <c r="AF150" s="31" t="s">
        <v>1333</v>
      </c>
      <c r="AG150" s="31"/>
      <c r="AH150" s="31"/>
      <c r="AI150" s="31" t="s">
        <v>1335</v>
      </c>
      <c r="AJ150" s="31" t="s">
        <v>262</v>
      </c>
      <c r="AK150" s="31" t="s">
        <v>259</v>
      </c>
      <c r="AL150" s="31"/>
      <c r="AM150" s="31"/>
      <c r="AN150" s="31"/>
      <c r="AO150" s="31"/>
      <c r="AP150" s="31"/>
      <c r="AQ150" s="31"/>
      <c r="AR150" s="31"/>
      <c r="AS150" s="30">
        <v>2</v>
      </c>
      <c r="AT150" s="37"/>
      <c r="AU150" s="37"/>
      <c r="AV150" s="37"/>
      <c r="AW150" s="37"/>
      <c r="AX150" s="37"/>
      <c r="AY150" s="38"/>
      <c r="AZ150" s="38"/>
      <c r="BA150" s="38"/>
      <c r="BB150" s="46"/>
      <c r="BC150" s="37">
        <v>2</v>
      </c>
      <c r="BD150" s="37"/>
      <c r="BE150" s="5"/>
      <c r="BF150" s="5"/>
      <c r="BG150" s="31" t="s">
        <v>1331</v>
      </c>
      <c r="BH150" s="31" t="s">
        <v>1331</v>
      </c>
      <c r="BI150" s="31" t="s">
        <v>1331</v>
      </c>
      <c r="BJ150" s="48"/>
      <c r="BK150" s="49">
        <v>3</v>
      </c>
    </row>
    <row x14ac:dyDescent="0.25" r="151" customHeight="1" ht="31.5">
      <c r="A151" s="30">
        <v>10029</v>
      </c>
      <c r="B151" s="5" t="s">
        <v>1336</v>
      </c>
      <c r="C151" s="31" t="s">
        <v>1337</v>
      </c>
      <c r="D151" s="31" t="s">
        <v>1338</v>
      </c>
      <c r="E151" s="5"/>
      <c r="F151" s="5" t="s">
        <v>637</v>
      </c>
      <c r="G151" s="5" t="s">
        <v>1329</v>
      </c>
      <c r="H151" s="31" t="s">
        <v>1339</v>
      </c>
      <c r="I151" s="32"/>
      <c r="J151" s="32"/>
      <c r="K151" s="5" t="s">
        <v>1340</v>
      </c>
      <c r="L151" s="5"/>
      <c r="M151" s="5" t="s">
        <v>231</v>
      </c>
      <c r="N151" s="5" t="s">
        <v>579</v>
      </c>
      <c r="O151" s="33"/>
      <c r="P151" s="5"/>
      <c r="Q151" s="1" t="s">
        <v>251</v>
      </c>
      <c r="R151" s="31" t="s">
        <v>286</v>
      </c>
      <c r="S151" s="31"/>
      <c r="T151" s="31"/>
      <c r="U151" s="31" t="s">
        <v>1341</v>
      </c>
      <c r="V151" s="5"/>
      <c r="W151" s="40">
        <v>1</v>
      </c>
      <c r="X151" s="31" t="s">
        <v>581</v>
      </c>
      <c r="Y151" s="42"/>
      <c r="Z151" s="35">
        <v>0</v>
      </c>
      <c r="AA151" s="31" t="s">
        <v>1342</v>
      </c>
      <c r="AB151" s="31" t="s">
        <v>1343</v>
      </c>
      <c r="AC151" s="5" t="s">
        <v>24</v>
      </c>
      <c r="AD151" s="5" t="s">
        <v>259</v>
      </c>
      <c r="AE151" s="36" t="s">
        <v>1334</v>
      </c>
      <c r="AF151" s="31" t="s">
        <v>1343</v>
      </c>
      <c r="AG151" s="31"/>
      <c r="AH151" s="31"/>
      <c r="AI151" s="31" t="s">
        <v>1335</v>
      </c>
      <c r="AJ151" s="31" t="s">
        <v>262</v>
      </c>
      <c r="AK151" s="31" t="s">
        <v>259</v>
      </c>
      <c r="AL151" s="31"/>
      <c r="AM151" s="31"/>
      <c r="AN151" s="31"/>
      <c r="AO151" s="31"/>
      <c r="AP151" s="31"/>
      <c r="AQ151" s="31"/>
      <c r="AR151" s="31" t="s">
        <v>263</v>
      </c>
      <c r="AS151" s="30">
        <v>22</v>
      </c>
      <c r="AT151" s="37"/>
      <c r="AU151" s="37"/>
      <c r="AV151" s="37"/>
      <c r="AW151" s="37"/>
      <c r="AX151" s="37"/>
      <c r="AY151" s="38"/>
      <c r="AZ151" s="38"/>
      <c r="BA151" s="38"/>
      <c r="BB151" s="46"/>
      <c r="BC151" s="37">
        <v>3</v>
      </c>
      <c r="BD151" s="37"/>
      <c r="BE151" s="5"/>
      <c r="BF151" s="5"/>
      <c r="BG151" s="47" t="s">
        <v>1337</v>
      </c>
      <c r="BH151" s="47" t="s">
        <v>1344</v>
      </c>
      <c r="BI151" s="47" t="s">
        <v>1345</v>
      </c>
      <c r="BJ151" s="60"/>
      <c r="BK151" s="49">
        <v>3</v>
      </c>
    </row>
    <row x14ac:dyDescent="0.25" r="152" customHeight="1" ht="31.5">
      <c r="A152" s="30">
        <v>10006</v>
      </c>
      <c r="B152" s="5" t="s">
        <v>1346</v>
      </c>
      <c r="C152" s="31" t="s">
        <v>1347</v>
      </c>
      <c r="D152" s="31" t="s">
        <v>1348</v>
      </c>
      <c r="E152" s="5"/>
      <c r="F152" s="5" t="s">
        <v>637</v>
      </c>
      <c r="G152" s="5" t="s">
        <v>1329</v>
      </c>
      <c r="H152" s="31" t="s">
        <v>1349</v>
      </c>
      <c r="I152" s="32"/>
      <c r="J152" s="32"/>
      <c r="K152" s="5"/>
      <c r="L152" s="5"/>
      <c r="M152" s="5" t="s">
        <v>231</v>
      </c>
      <c r="N152" s="5" t="s">
        <v>580</v>
      </c>
      <c r="O152" s="33"/>
      <c r="P152" s="5"/>
      <c r="Q152" s="1" t="s">
        <v>251</v>
      </c>
      <c r="R152" s="31" t="s">
        <v>252</v>
      </c>
      <c r="S152" s="31"/>
      <c r="T152" s="31"/>
      <c r="U152" s="31" t="s">
        <v>1347</v>
      </c>
      <c r="V152" s="5"/>
      <c r="W152" s="40">
        <v>1</v>
      </c>
      <c r="X152" s="31" t="s">
        <v>581</v>
      </c>
      <c r="Y152" s="42"/>
      <c r="Z152" s="20" t="s">
        <v>1068</v>
      </c>
      <c r="AA152" s="31" t="s">
        <v>1350</v>
      </c>
      <c r="AB152" s="31" t="s">
        <v>1351</v>
      </c>
      <c r="AC152" s="5" t="s">
        <v>24</v>
      </c>
      <c r="AD152" s="5" t="s">
        <v>259</v>
      </c>
      <c r="AE152" s="36" t="s">
        <v>259</v>
      </c>
      <c r="AF152" s="31" t="s">
        <v>649</v>
      </c>
      <c r="AG152" s="31"/>
      <c r="AH152" s="31"/>
      <c r="AI152" s="31"/>
      <c r="AJ152" s="31"/>
      <c r="AK152" s="31"/>
      <c r="AL152" s="31"/>
      <c r="AM152" s="31"/>
      <c r="AN152" s="31"/>
      <c r="AO152" s="31"/>
      <c r="AP152" s="31"/>
      <c r="AQ152" s="31"/>
      <c r="AR152" s="31" t="s">
        <v>1352</v>
      </c>
      <c r="AS152" s="30">
        <v>7</v>
      </c>
      <c r="AT152" s="37"/>
      <c r="AU152" s="37"/>
      <c r="AV152" s="37"/>
      <c r="AW152" s="37"/>
      <c r="AX152" s="37"/>
      <c r="AY152" s="38"/>
      <c r="AZ152" s="38"/>
      <c r="BA152" s="38"/>
      <c r="BB152" s="46"/>
      <c r="BC152" s="37">
        <v>4</v>
      </c>
      <c r="BD152" s="37"/>
      <c r="BE152" s="5"/>
      <c r="BF152" s="5"/>
      <c r="BG152" s="31" t="s">
        <v>1347</v>
      </c>
      <c r="BH152" s="31" t="s">
        <v>1347</v>
      </c>
      <c r="BI152" s="31" t="s">
        <v>1347</v>
      </c>
      <c r="BJ152" s="48"/>
      <c r="BK152" s="49">
        <v>3</v>
      </c>
    </row>
    <row x14ac:dyDescent="0.25" r="153" customHeight="1" ht="31.5">
      <c r="A153" s="30">
        <v>10033</v>
      </c>
      <c r="B153" s="5" t="s">
        <v>1353</v>
      </c>
      <c r="C153" s="31" t="s">
        <v>1354</v>
      </c>
      <c r="D153" s="31" t="s">
        <v>1355</v>
      </c>
      <c r="E153" s="5"/>
      <c r="F153" s="5" t="s">
        <v>637</v>
      </c>
      <c r="G153" s="5" t="s">
        <v>1329</v>
      </c>
      <c r="H153" s="31" t="s">
        <v>1356</v>
      </c>
      <c r="I153" s="32"/>
      <c r="J153" s="32"/>
      <c r="K153" s="5" t="s">
        <v>1357</v>
      </c>
      <c r="L153" s="5"/>
      <c r="M153" s="5" t="s">
        <v>231</v>
      </c>
      <c r="N153" s="5" t="s">
        <v>579</v>
      </c>
      <c r="O153" s="33"/>
      <c r="P153" s="5"/>
      <c r="Q153" s="1" t="s">
        <v>251</v>
      </c>
      <c r="R153" s="31" t="s">
        <v>286</v>
      </c>
      <c r="S153" s="31"/>
      <c r="T153" s="31"/>
      <c r="U153" s="31" t="s">
        <v>1354</v>
      </c>
      <c r="V153" s="5"/>
      <c r="W153" s="40">
        <v>1</v>
      </c>
      <c r="X153" s="31" t="s">
        <v>581</v>
      </c>
      <c r="Y153" s="42"/>
      <c r="Z153" s="35">
        <v>0</v>
      </c>
      <c r="AA153" s="31" t="s">
        <v>1355</v>
      </c>
      <c r="AB153" s="31" t="s">
        <v>1358</v>
      </c>
      <c r="AC153" s="5" t="s">
        <v>24</v>
      </c>
      <c r="AD153" s="5" t="s">
        <v>259</v>
      </c>
      <c r="AE153" s="36" t="s">
        <v>1334</v>
      </c>
      <c r="AF153" s="31" t="s">
        <v>1359</v>
      </c>
      <c r="AG153" s="31"/>
      <c r="AH153" s="31"/>
      <c r="AI153" s="31" t="s">
        <v>1335</v>
      </c>
      <c r="AJ153" s="31" t="s">
        <v>262</v>
      </c>
      <c r="AK153" s="31" t="s">
        <v>259</v>
      </c>
      <c r="AL153" s="43"/>
      <c r="AM153" s="43"/>
      <c r="AN153" s="43"/>
      <c r="AO153" s="43"/>
      <c r="AP153" s="43"/>
      <c r="AQ153" s="31"/>
      <c r="AR153" s="31" t="s">
        <v>263</v>
      </c>
      <c r="AS153" s="30">
        <v>23</v>
      </c>
      <c r="AT153" s="44"/>
      <c r="AU153" s="44"/>
      <c r="AV153" s="44"/>
      <c r="AW153" s="44"/>
      <c r="AX153" s="44"/>
      <c r="AY153" s="38"/>
      <c r="AZ153" s="38"/>
      <c r="BA153" s="38"/>
      <c r="BB153" s="46"/>
      <c r="BC153" s="37">
        <v>5</v>
      </c>
      <c r="BD153" s="37"/>
      <c r="BE153" s="5"/>
      <c r="BF153" s="5"/>
      <c r="BG153" s="31" t="s">
        <v>1354</v>
      </c>
      <c r="BH153" s="31" t="s">
        <v>1360</v>
      </c>
      <c r="BI153" s="31" t="s">
        <v>1354</v>
      </c>
      <c r="BJ153" s="48"/>
      <c r="BK153" s="49">
        <v>3</v>
      </c>
    </row>
    <row x14ac:dyDescent="0.25" r="154" customHeight="1" ht="31.5">
      <c r="A154" s="30">
        <v>10007</v>
      </c>
      <c r="B154" s="5" t="s">
        <v>1361</v>
      </c>
      <c r="C154" s="31" t="s">
        <v>1362</v>
      </c>
      <c r="D154" s="31" t="s">
        <v>1363</v>
      </c>
      <c r="E154" s="5"/>
      <c r="F154" s="5" t="s">
        <v>637</v>
      </c>
      <c r="G154" s="5" t="s">
        <v>1329</v>
      </c>
      <c r="H154" s="31" t="s">
        <v>1364</v>
      </c>
      <c r="I154" s="32"/>
      <c r="J154" s="32"/>
      <c r="K154" s="5"/>
      <c r="L154" s="5"/>
      <c r="M154" s="5" t="s">
        <v>231</v>
      </c>
      <c r="N154" s="5" t="s">
        <v>580</v>
      </c>
      <c r="O154" s="33"/>
      <c r="P154" s="5"/>
      <c r="Q154" s="1" t="s">
        <v>233</v>
      </c>
      <c r="R154" s="31" t="s">
        <v>233</v>
      </c>
      <c r="S154" s="31"/>
      <c r="T154" s="31"/>
      <c r="U154" s="31" t="s">
        <v>1361</v>
      </c>
      <c r="V154" s="5"/>
      <c r="W154" s="40">
        <v>1</v>
      </c>
      <c r="X154" s="31" t="s">
        <v>581</v>
      </c>
      <c r="Y154" s="42"/>
      <c r="Z154" s="35">
        <v>1</v>
      </c>
      <c r="AA154" s="31" t="s">
        <v>1363</v>
      </c>
      <c r="AB154" s="31" t="s">
        <v>1365</v>
      </c>
      <c r="AC154" s="5" t="s">
        <v>24</v>
      </c>
      <c r="AD154" s="31" t="s">
        <v>259</v>
      </c>
      <c r="AE154" s="36" t="s">
        <v>1366</v>
      </c>
      <c r="AF154" s="31" t="s">
        <v>1367</v>
      </c>
      <c r="AG154" s="31"/>
      <c r="AH154" s="31"/>
      <c r="AI154" s="31"/>
      <c r="AJ154" s="31"/>
      <c r="AK154" s="31"/>
      <c r="AL154" s="31"/>
      <c r="AM154" s="31"/>
      <c r="AN154" s="31"/>
      <c r="AO154" s="31"/>
      <c r="AP154" s="31"/>
      <c r="AQ154" s="31"/>
      <c r="AR154" s="31" t="s">
        <v>1352</v>
      </c>
      <c r="AS154" s="30">
        <v>8</v>
      </c>
      <c r="AT154" s="37"/>
      <c r="AU154" s="37"/>
      <c r="AV154" s="37"/>
      <c r="AW154" s="37"/>
      <c r="AX154" s="37"/>
      <c r="AY154" s="38"/>
      <c r="AZ154" s="38"/>
      <c r="BA154" s="38"/>
      <c r="BB154" s="46"/>
      <c r="BC154" s="37">
        <v>6</v>
      </c>
      <c r="BD154" s="37"/>
      <c r="BE154" s="5"/>
      <c r="BF154" s="5"/>
      <c r="BG154" s="31" t="s">
        <v>1361</v>
      </c>
      <c r="BH154" s="31" t="s">
        <v>1361</v>
      </c>
      <c r="BI154" s="31" t="s">
        <v>1361</v>
      </c>
      <c r="BJ154" s="48"/>
      <c r="BK154" s="49">
        <v>3</v>
      </c>
    </row>
    <row x14ac:dyDescent="0.25" r="155" customHeight="1" ht="31.5">
      <c r="A155" s="30">
        <v>10009</v>
      </c>
      <c r="B155" s="5" t="s">
        <v>1368</v>
      </c>
      <c r="C155" s="31" t="s">
        <v>1369</v>
      </c>
      <c r="D155" s="31" t="s">
        <v>1370</v>
      </c>
      <c r="E155" s="5"/>
      <c r="F155" s="5" t="s">
        <v>1371</v>
      </c>
      <c r="G155" s="5" t="s">
        <v>1329</v>
      </c>
      <c r="H155" s="31" t="s">
        <v>1372</v>
      </c>
      <c r="I155" s="32"/>
      <c r="J155" s="32"/>
      <c r="K155" s="5"/>
      <c r="L155" s="5"/>
      <c r="M155" s="5" t="s">
        <v>231</v>
      </c>
      <c r="N155" s="5" t="s">
        <v>580</v>
      </c>
      <c r="O155" s="33"/>
      <c r="P155" s="5"/>
      <c r="Q155" s="1" t="s">
        <v>233</v>
      </c>
      <c r="R155" s="31" t="s">
        <v>233</v>
      </c>
      <c r="S155" s="31"/>
      <c r="T155" s="31"/>
      <c r="U155" s="31" t="s">
        <v>1368</v>
      </c>
      <c r="V155" s="5"/>
      <c r="W155" s="40">
        <v>1</v>
      </c>
      <c r="X155" s="31" t="s">
        <v>581</v>
      </c>
      <c r="Y155" s="42"/>
      <c r="Z155" s="35">
        <v>1</v>
      </c>
      <c r="AA155" s="31" t="s">
        <v>1373</v>
      </c>
      <c r="AB155" s="31" t="s">
        <v>1374</v>
      </c>
      <c r="AC155" s="5" t="s">
        <v>115</v>
      </c>
      <c r="AD155" s="31" t="s">
        <v>259</v>
      </c>
      <c r="AE155" s="36" t="s">
        <v>1366</v>
      </c>
      <c r="AF155" s="31" t="s">
        <v>1375</v>
      </c>
      <c r="AG155" s="31"/>
      <c r="AH155" s="31"/>
      <c r="AI155" s="31"/>
      <c r="AJ155" s="31"/>
      <c r="AK155" s="31"/>
      <c r="AL155" s="31"/>
      <c r="AM155" s="31"/>
      <c r="AN155" s="31"/>
      <c r="AO155" s="31"/>
      <c r="AP155" s="31"/>
      <c r="AQ155" s="31"/>
      <c r="AR155" s="31" t="s">
        <v>1352</v>
      </c>
      <c r="AS155" s="30">
        <v>9</v>
      </c>
      <c r="AT155" s="37"/>
      <c r="AU155" s="37"/>
      <c r="AV155" s="37"/>
      <c r="AW155" s="37"/>
      <c r="AX155" s="37"/>
      <c r="AY155" s="38"/>
      <c r="AZ155" s="38"/>
      <c r="BA155" s="38"/>
      <c r="BB155" s="46"/>
      <c r="BC155" s="37">
        <v>7</v>
      </c>
      <c r="BD155" s="37"/>
      <c r="BE155" s="5"/>
      <c r="BF155" s="5"/>
      <c r="BG155" s="31" t="s">
        <v>1368</v>
      </c>
      <c r="BH155" s="31" t="s">
        <v>1368</v>
      </c>
      <c r="BI155" s="31" t="s">
        <v>1368</v>
      </c>
      <c r="BJ155" s="48"/>
      <c r="BK155" s="49">
        <v>3</v>
      </c>
    </row>
    <row x14ac:dyDescent="0.25" r="156" customHeight="1" ht="31.5">
      <c r="A156" s="30">
        <v>10010</v>
      </c>
      <c r="B156" s="5" t="s">
        <v>1376</v>
      </c>
      <c r="C156" s="31" t="s">
        <v>1377</v>
      </c>
      <c r="D156" s="31" t="s">
        <v>1378</v>
      </c>
      <c r="E156" s="5"/>
      <c r="F156" s="5" t="s">
        <v>577</v>
      </c>
      <c r="G156" s="5" t="s">
        <v>1329</v>
      </c>
      <c r="H156" s="31" t="s">
        <v>1379</v>
      </c>
      <c r="I156" s="32"/>
      <c r="J156" s="32"/>
      <c r="K156" s="5"/>
      <c r="L156" s="5"/>
      <c r="M156" s="5" t="s">
        <v>231</v>
      </c>
      <c r="N156" s="5" t="s">
        <v>580</v>
      </c>
      <c r="O156" s="33"/>
      <c r="P156" s="5"/>
      <c r="Q156" s="1" t="s">
        <v>251</v>
      </c>
      <c r="R156" s="31" t="s">
        <v>252</v>
      </c>
      <c r="S156" s="31"/>
      <c r="T156" s="31"/>
      <c r="U156" s="31" t="s">
        <v>1380</v>
      </c>
      <c r="V156" s="5"/>
      <c r="W156" s="40">
        <v>1</v>
      </c>
      <c r="X156" s="31" t="s">
        <v>581</v>
      </c>
      <c r="Y156" s="42"/>
      <c r="Z156" s="20" t="s">
        <v>1068</v>
      </c>
      <c r="AA156" s="31" t="s">
        <v>1381</v>
      </c>
      <c r="AB156" s="31" t="s">
        <v>1382</v>
      </c>
      <c r="AC156" s="5" t="s">
        <v>24</v>
      </c>
      <c r="AD156" s="5" t="s">
        <v>259</v>
      </c>
      <c r="AE156" s="36" t="s">
        <v>1366</v>
      </c>
      <c r="AF156" s="31" t="s">
        <v>1382</v>
      </c>
      <c r="AG156" s="31"/>
      <c r="AH156" s="31"/>
      <c r="AI156" s="31"/>
      <c r="AJ156" s="31"/>
      <c r="AK156" s="31"/>
      <c r="AL156" s="31"/>
      <c r="AM156" s="31"/>
      <c r="AN156" s="31"/>
      <c r="AO156" s="31"/>
      <c r="AP156" s="31"/>
      <c r="AQ156" s="31"/>
      <c r="AR156" s="31" t="s">
        <v>1352</v>
      </c>
      <c r="AS156" s="30">
        <v>10</v>
      </c>
      <c r="AT156" s="37"/>
      <c r="AU156" s="37"/>
      <c r="AV156" s="37"/>
      <c r="AW156" s="37"/>
      <c r="AX156" s="37"/>
      <c r="AY156" s="38"/>
      <c r="AZ156" s="38"/>
      <c r="BA156" s="38"/>
      <c r="BB156" s="46"/>
      <c r="BC156" s="37">
        <v>8</v>
      </c>
      <c r="BD156" s="37"/>
      <c r="BE156" s="5"/>
      <c r="BF156" s="5"/>
      <c r="BG156" s="47" t="s">
        <v>1383</v>
      </c>
      <c r="BH156" s="47" t="s">
        <v>1383</v>
      </c>
      <c r="BI156" s="31" t="s">
        <v>1383</v>
      </c>
      <c r="BJ156" s="48"/>
      <c r="BK156" s="49">
        <v>3</v>
      </c>
    </row>
    <row x14ac:dyDescent="0.25" r="157" customHeight="1" ht="31.5">
      <c r="A157" s="30">
        <v>10002</v>
      </c>
      <c r="B157" s="5" t="s">
        <v>1384</v>
      </c>
      <c r="C157" s="31" t="s">
        <v>1385</v>
      </c>
      <c r="D157" s="31" t="s">
        <v>1386</v>
      </c>
      <c r="E157" s="5" t="s">
        <v>529</v>
      </c>
      <c r="F157" s="5" t="s">
        <v>637</v>
      </c>
      <c r="G157" s="5" t="s">
        <v>1329</v>
      </c>
      <c r="H157" s="31" t="s">
        <v>1387</v>
      </c>
      <c r="I157" s="32"/>
      <c r="J157" s="32"/>
      <c r="K157" s="5"/>
      <c r="L157" s="5"/>
      <c r="M157" s="5" t="s">
        <v>231</v>
      </c>
      <c r="N157" s="5" t="s">
        <v>580</v>
      </c>
      <c r="O157" s="33"/>
      <c r="P157" s="5"/>
      <c r="Q157" s="1" t="s">
        <v>251</v>
      </c>
      <c r="R157" s="31" t="s">
        <v>252</v>
      </c>
      <c r="S157" s="31"/>
      <c r="T157" s="31" t="s">
        <v>1388</v>
      </c>
      <c r="U157" s="31" t="s">
        <v>1385</v>
      </c>
      <c r="V157" s="5"/>
      <c r="W157" s="40">
        <v>1</v>
      </c>
      <c r="X157" s="41" t="s">
        <v>581</v>
      </c>
      <c r="Y157" s="42"/>
      <c r="Z157" s="35">
        <v>1</v>
      </c>
      <c r="AA157" s="31" t="s">
        <v>1389</v>
      </c>
      <c r="AB157" s="31" t="s">
        <v>1390</v>
      </c>
      <c r="AC157" s="5" t="s">
        <v>24</v>
      </c>
      <c r="AD157" s="5" t="s">
        <v>259</v>
      </c>
      <c r="AE157" s="36" t="s">
        <v>1334</v>
      </c>
      <c r="AF157" s="31" t="s">
        <v>1390</v>
      </c>
      <c r="AG157" s="31"/>
      <c r="AH157" s="31"/>
      <c r="AI157" s="31" t="s">
        <v>1335</v>
      </c>
      <c r="AJ157" s="31" t="s">
        <v>262</v>
      </c>
      <c r="AK157" s="31" t="s">
        <v>259</v>
      </c>
      <c r="AL157" s="31"/>
      <c r="AM157" s="31"/>
      <c r="AN157" s="31"/>
      <c r="AO157" s="31"/>
      <c r="AP157" s="31"/>
      <c r="AQ157" s="31"/>
      <c r="AR157" s="31" t="s">
        <v>1352</v>
      </c>
      <c r="AS157" s="30">
        <v>5</v>
      </c>
      <c r="AT157" s="37"/>
      <c r="AU157" s="37"/>
      <c r="AV157" s="37"/>
      <c r="AW157" s="37"/>
      <c r="AX157" s="37"/>
      <c r="AY157" s="38"/>
      <c r="AZ157" s="38"/>
      <c r="BA157" s="38"/>
      <c r="BB157" s="46" t="s">
        <v>529</v>
      </c>
      <c r="BC157" s="37">
        <v>9</v>
      </c>
      <c r="BD157" s="37"/>
      <c r="BE157" s="5"/>
      <c r="BF157" s="5"/>
      <c r="BG157" s="31" t="s">
        <v>1391</v>
      </c>
      <c r="BH157" s="31" t="s">
        <v>1391</v>
      </c>
      <c r="BI157" s="31" t="s">
        <v>1391</v>
      </c>
      <c r="BJ157" s="48"/>
      <c r="BK157" s="49">
        <v>3</v>
      </c>
    </row>
    <row x14ac:dyDescent="0.25" r="158" customHeight="1" ht="31.5">
      <c r="A158" s="30">
        <v>10014</v>
      </c>
      <c r="B158" s="5" t="s">
        <v>1392</v>
      </c>
      <c r="C158" s="31" t="s">
        <v>1393</v>
      </c>
      <c r="D158" s="31" t="s">
        <v>1394</v>
      </c>
      <c r="E158" s="5"/>
      <c r="F158" s="5" t="s">
        <v>1395</v>
      </c>
      <c r="G158" s="5" t="s">
        <v>1329</v>
      </c>
      <c r="H158" s="31" t="s">
        <v>1396</v>
      </c>
      <c r="I158" s="32"/>
      <c r="J158" s="32"/>
      <c r="K158" s="5"/>
      <c r="L158" s="5"/>
      <c r="M158" s="5" t="s">
        <v>231</v>
      </c>
      <c r="N158" s="5" t="s">
        <v>580</v>
      </c>
      <c r="O158" s="33"/>
      <c r="P158" s="5"/>
      <c r="Q158" s="1" t="s">
        <v>251</v>
      </c>
      <c r="R158" s="31" t="s">
        <v>252</v>
      </c>
      <c r="S158" s="31"/>
      <c r="T158" s="31" t="s">
        <v>1397</v>
      </c>
      <c r="U158" s="31" t="s">
        <v>1393</v>
      </c>
      <c r="V158" s="5"/>
      <c r="W158" s="40">
        <v>1</v>
      </c>
      <c r="X158" s="31" t="s">
        <v>581</v>
      </c>
      <c r="Y158" s="42"/>
      <c r="Z158" s="35">
        <v>1</v>
      </c>
      <c r="AA158" s="31" t="s">
        <v>1394</v>
      </c>
      <c r="AB158" s="31" t="s">
        <v>1398</v>
      </c>
      <c r="AC158" s="5" t="s">
        <v>76</v>
      </c>
      <c r="AD158" s="5" t="s">
        <v>259</v>
      </c>
      <c r="AE158" s="36" t="s">
        <v>1399</v>
      </c>
      <c r="AF158" s="31" t="s">
        <v>1400</v>
      </c>
      <c r="AG158" s="31"/>
      <c r="AH158" s="31"/>
      <c r="AI158" s="31"/>
      <c r="AJ158" s="31" t="s">
        <v>262</v>
      </c>
      <c r="AK158" s="31" t="s">
        <v>259</v>
      </c>
      <c r="AL158" s="31"/>
      <c r="AM158" s="31"/>
      <c r="AN158" s="31" t="s">
        <v>1401</v>
      </c>
      <c r="AO158" s="31" t="s">
        <v>259</v>
      </c>
      <c r="AP158" s="31" t="s">
        <v>1398</v>
      </c>
      <c r="AQ158" s="31"/>
      <c r="AR158" s="31" t="s">
        <v>1352</v>
      </c>
      <c r="AS158" s="30">
        <v>14</v>
      </c>
      <c r="AT158" s="37"/>
      <c r="AU158" s="37"/>
      <c r="AV158" s="37"/>
      <c r="AW158" s="37"/>
      <c r="AX158" s="37"/>
      <c r="AY158" s="38"/>
      <c r="AZ158" s="38"/>
      <c r="BA158" s="38"/>
      <c r="BB158" s="46"/>
      <c r="BC158" s="37">
        <v>10</v>
      </c>
      <c r="BD158" s="37"/>
      <c r="BE158" s="5"/>
      <c r="BF158" s="5"/>
      <c r="BG158" s="31" t="s">
        <v>1393</v>
      </c>
      <c r="BH158" s="31" t="s">
        <v>1393</v>
      </c>
      <c r="BI158" s="31" t="s">
        <v>1393</v>
      </c>
      <c r="BJ158" s="48"/>
      <c r="BK158" s="49">
        <v>3</v>
      </c>
    </row>
    <row x14ac:dyDescent="0.25" r="159" customHeight="1" ht="31.5">
      <c r="A159" s="30">
        <v>10018</v>
      </c>
      <c r="B159" s="5" t="s">
        <v>1402</v>
      </c>
      <c r="C159" s="31" t="s">
        <v>1403</v>
      </c>
      <c r="D159" s="31" t="s">
        <v>1404</v>
      </c>
      <c r="E159" s="5"/>
      <c r="F159" s="5" t="s">
        <v>637</v>
      </c>
      <c r="G159" s="5" t="s">
        <v>1329</v>
      </c>
      <c r="H159" s="31" t="s">
        <v>1405</v>
      </c>
      <c r="I159" s="32"/>
      <c r="J159" s="32"/>
      <c r="K159" s="5" t="s">
        <v>1406</v>
      </c>
      <c r="L159" s="5"/>
      <c r="M159" s="5" t="s">
        <v>231</v>
      </c>
      <c r="N159" s="5" t="s">
        <v>579</v>
      </c>
      <c r="O159" s="33"/>
      <c r="P159" s="5"/>
      <c r="Q159" s="1" t="s">
        <v>251</v>
      </c>
      <c r="R159" s="31" t="s">
        <v>286</v>
      </c>
      <c r="S159" s="31"/>
      <c r="T159" s="31"/>
      <c r="U159" s="31" t="s">
        <v>1403</v>
      </c>
      <c r="V159" s="5"/>
      <c r="W159" s="34">
        <v>1</v>
      </c>
      <c r="X159" s="178" t="s">
        <v>1407</v>
      </c>
      <c r="Y159" s="5"/>
      <c r="Z159" s="35">
        <v>1</v>
      </c>
      <c r="AA159" s="31" t="s">
        <v>1408</v>
      </c>
      <c r="AB159" s="31" t="s">
        <v>1409</v>
      </c>
      <c r="AC159" s="5" t="s">
        <v>24</v>
      </c>
      <c r="AD159" s="5" t="s">
        <v>259</v>
      </c>
      <c r="AE159" s="36" t="s">
        <v>1410</v>
      </c>
      <c r="AF159" s="31" t="s">
        <v>641</v>
      </c>
      <c r="AG159" s="31" t="s">
        <v>43</v>
      </c>
      <c r="AH159" s="31"/>
      <c r="AI159" s="31"/>
      <c r="AJ159" s="31" t="s">
        <v>262</v>
      </c>
      <c r="AK159" s="31" t="s">
        <v>259</v>
      </c>
      <c r="AL159" s="31"/>
      <c r="AM159" s="31"/>
      <c r="AN159" s="31"/>
      <c r="AO159" s="31"/>
      <c r="AP159" s="31"/>
      <c r="AQ159" s="31"/>
      <c r="AR159" s="31" t="s">
        <v>263</v>
      </c>
      <c r="AS159" s="30">
        <v>18</v>
      </c>
      <c r="AT159" s="37"/>
      <c r="AU159" s="37"/>
      <c r="AV159" s="37"/>
      <c r="AW159" s="37"/>
      <c r="AX159" s="37"/>
      <c r="AY159" s="38"/>
      <c r="AZ159" s="38"/>
      <c r="BA159" s="38"/>
      <c r="BB159" s="46"/>
      <c r="BC159" s="135">
        <v>12</v>
      </c>
      <c r="BD159" s="37"/>
      <c r="BE159" s="5"/>
      <c r="BF159" s="5"/>
      <c r="BG159" s="47" t="s">
        <v>1411</v>
      </c>
      <c r="BH159" s="47" t="s">
        <v>1412</v>
      </c>
      <c r="BI159" s="47" t="s">
        <v>1413</v>
      </c>
      <c r="BJ159" s="48"/>
      <c r="BK159" s="49">
        <v>3</v>
      </c>
    </row>
    <row x14ac:dyDescent="0.25" r="160" customHeight="1" ht="31.5">
      <c r="A160" s="30" t="s">
        <v>1414</v>
      </c>
      <c r="B160" s="5" t="s">
        <v>1415</v>
      </c>
      <c r="C160" s="31" t="s">
        <v>1416</v>
      </c>
      <c r="D160" s="31" t="s">
        <v>1417</v>
      </c>
      <c r="E160" s="5"/>
      <c r="F160" s="5" t="s">
        <v>637</v>
      </c>
      <c r="G160" s="5" t="s">
        <v>1329</v>
      </c>
      <c r="H160" s="31" t="s">
        <v>1418</v>
      </c>
      <c r="I160" s="32"/>
      <c r="J160" s="32"/>
      <c r="K160" s="5" t="s">
        <v>1419</v>
      </c>
      <c r="L160" s="5"/>
      <c r="M160" s="5" t="s">
        <v>231</v>
      </c>
      <c r="N160" s="5" t="s">
        <v>579</v>
      </c>
      <c r="O160" s="33"/>
      <c r="P160" s="5"/>
      <c r="Q160" s="1" t="s">
        <v>251</v>
      </c>
      <c r="R160" s="31" t="s">
        <v>286</v>
      </c>
      <c r="S160" s="31"/>
      <c r="T160" s="31"/>
      <c r="U160" s="31" t="s">
        <v>1420</v>
      </c>
      <c r="V160" s="5"/>
      <c r="W160" s="40">
        <v>1</v>
      </c>
      <c r="X160" s="178" t="s">
        <v>1407</v>
      </c>
      <c r="Y160" s="42"/>
      <c r="Z160" s="35">
        <v>1</v>
      </c>
      <c r="AA160" s="31" t="s">
        <v>1421</v>
      </c>
      <c r="AB160" s="31" t="s">
        <v>1422</v>
      </c>
      <c r="AC160" s="5" t="s">
        <v>24</v>
      </c>
      <c r="AD160" s="5" t="s">
        <v>259</v>
      </c>
      <c r="AE160" s="36" t="s">
        <v>1410</v>
      </c>
      <c r="AF160" s="31" t="s">
        <v>649</v>
      </c>
      <c r="AG160" s="31" t="s">
        <v>43</v>
      </c>
      <c r="AH160" s="31"/>
      <c r="AI160" s="31"/>
      <c r="AJ160" s="31" t="s">
        <v>262</v>
      </c>
      <c r="AK160" s="31" t="s">
        <v>259</v>
      </c>
      <c r="AL160" s="31"/>
      <c r="AM160" s="31"/>
      <c r="AN160" s="31"/>
      <c r="AO160" s="31"/>
      <c r="AP160" s="31"/>
      <c r="AQ160" s="31"/>
      <c r="AR160" s="31"/>
      <c r="AS160" s="30">
        <v>34</v>
      </c>
      <c r="AT160" s="37"/>
      <c r="AU160" s="37"/>
      <c r="AV160" s="37"/>
      <c r="AW160" s="37"/>
      <c r="AX160" s="37"/>
      <c r="AY160" s="38"/>
      <c r="AZ160" s="38"/>
      <c r="BA160" s="38"/>
      <c r="BB160" s="46"/>
      <c r="BC160" s="135">
        <v>13</v>
      </c>
      <c r="BD160" s="37"/>
      <c r="BE160" s="5"/>
      <c r="BF160" s="5"/>
      <c r="BG160" s="47" t="s">
        <v>1416</v>
      </c>
      <c r="BH160" s="47" t="s">
        <v>1423</v>
      </c>
      <c r="BI160" s="47" t="s">
        <v>1424</v>
      </c>
      <c r="BJ160" s="60"/>
      <c r="BK160" s="49">
        <v>3</v>
      </c>
    </row>
    <row x14ac:dyDescent="0.25" r="161" customHeight="1" ht="31.5">
      <c r="A161" s="30" t="s">
        <v>1425</v>
      </c>
      <c r="B161" s="5" t="s">
        <v>1426</v>
      </c>
      <c r="C161" s="31" t="s">
        <v>1427</v>
      </c>
      <c r="D161" s="31" t="s">
        <v>1428</v>
      </c>
      <c r="E161" s="5"/>
      <c r="F161" s="5" t="s">
        <v>637</v>
      </c>
      <c r="G161" s="5" t="s">
        <v>1329</v>
      </c>
      <c r="H161" s="31" t="s">
        <v>1429</v>
      </c>
      <c r="I161" s="32"/>
      <c r="J161" s="32"/>
      <c r="K161" s="5" t="s">
        <v>1430</v>
      </c>
      <c r="L161" s="5"/>
      <c r="M161" s="5" t="s">
        <v>231</v>
      </c>
      <c r="N161" s="5" t="s">
        <v>579</v>
      </c>
      <c r="O161" s="33"/>
      <c r="P161" s="5"/>
      <c r="Q161" s="1" t="s">
        <v>251</v>
      </c>
      <c r="R161" s="31" t="s">
        <v>286</v>
      </c>
      <c r="S161" s="31"/>
      <c r="T161" s="31"/>
      <c r="U161" s="31" t="s">
        <v>1431</v>
      </c>
      <c r="V161" s="5"/>
      <c r="W161" s="40">
        <v>1</v>
      </c>
      <c r="X161" s="178" t="s">
        <v>1407</v>
      </c>
      <c r="Y161" s="42"/>
      <c r="Z161" s="35">
        <v>0</v>
      </c>
      <c r="AA161" s="31" t="s">
        <v>1432</v>
      </c>
      <c r="AB161" s="31" t="s">
        <v>1433</v>
      </c>
      <c r="AC161" s="5" t="s">
        <v>24</v>
      </c>
      <c r="AD161" s="5" t="s">
        <v>259</v>
      </c>
      <c r="AE161" s="36" t="s">
        <v>1410</v>
      </c>
      <c r="AF161" s="31" t="s">
        <v>656</v>
      </c>
      <c r="AG161" s="31" t="s">
        <v>43</v>
      </c>
      <c r="AH161" s="31"/>
      <c r="AI161" s="31"/>
      <c r="AJ161" s="31" t="s">
        <v>262</v>
      </c>
      <c r="AK161" s="31" t="s">
        <v>259</v>
      </c>
      <c r="AL161" s="31"/>
      <c r="AM161" s="31"/>
      <c r="AN161" s="31"/>
      <c r="AO161" s="31"/>
      <c r="AP161" s="31"/>
      <c r="AQ161" s="31"/>
      <c r="AR161" s="31"/>
      <c r="AS161" s="30">
        <v>35</v>
      </c>
      <c r="AT161" s="37"/>
      <c r="AU161" s="37"/>
      <c r="AV161" s="37"/>
      <c r="AW161" s="37"/>
      <c r="AX161" s="37"/>
      <c r="AY161" s="38"/>
      <c r="AZ161" s="38"/>
      <c r="BA161" s="38"/>
      <c r="BB161" s="46"/>
      <c r="BC161" s="135">
        <v>14</v>
      </c>
      <c r="BD161" s="37"/>
      <c r="BE161" s="5"/>
      <c r="BF161" s="5"/>
      <c r="BG161" s="47" t="s">
        <v>1427</v>
      </c>
      <c r="BH161" s="47" t="s">
        <v>1434</v>
      </c>
      <c r="BI161" s="47" t="s">
        <v>1435</v>
      </c>
      <c r="BJ161" s="60"/>
      <c r="BK161" s="49">
        <v>3</v>
      </c>
    </row>
    <row x14ac:dyDescent="0.25" r="162" customHeight="1" ht="31.5">
      <c r="A162" s="30" t="s">
        <v>1436</v>
      </c>
      <c r="B162" s="5" t="s">
        <v>1437</v>
      </c>
      <c r="C162" s="31" t="s">
        <v>1438</v>
      </c>
      <c r="D162" s="31" t="s">
        <v>1439</v>
      </c>
      <c r="E162" s="5"/>
      <c r="F162" s="5" t="s">
        <v>637</v>
      </c>
      <c r="G162" s="5" t="s">
        <v>1329</v>
      </c>
      <c r="H162" s="31" t="s">
        <v>1440</v>
      </c>
      <c r="I162" s="32"/>
      <c r="J162" s="32"/>
      <c r="K162" s="5" t="s">
        <v>1441</v>
      </c>
      <c r="L162" s="5"/>
      <c r="M162" s="5" t="s">
        <v>231</v>
      </c>
      <c r="N162" s="5" t="s">
        <v>579</v>
      </c>
      <c r="O162" s="33"/>
      <c r="P162" s="5"/>
      <c r="Q162" s="1" t="s">
        <v>251</v>
      </c>
      <c r="R162" s="31" t="s">
        <v>286</v>
      </c>
      <c r="S162" s="31"/>
      <c r="T162" s="31"/>
      <c r="U162" s="31" t="s">
        <v>1442</v>
      </c>
      <c r="V162" s="5"/>
      <c r="W162" s="40">
        <v>1</v>
      </c>
      <c r="X162" s="178" t="s">
        <v>1407</v>
      </c>
      <c r="Y162" s="42"/>
      <c r="Z162" s="35">
        <v>0</v>
      </c>
      <c r="AA162" s="31" t="s">
        <v>1443</v>
      </c>
      <c r="AB162" s="31" t="s">
        <v>1444</v>
      </c>
      <c r="AC162" s="5" t="s">
        <v>24</v>
      </c>
      <c r="AD162" s="5" t="s">
        <v>259</v>
      </c>
      <c r="AE162" s="36" t="s">
        <v>1410</v>
      </c>
      <c r="AF162" s="31" t="s">
        <v>672</v>
      </c>
      <c r="AG162" s="31" t="s">
        <v>43</v>
      </c>
      <c r="AH162" s="31"/>
      <c r="AI162" s="31"/>
      <c r="AJ162" s="31" t="s">
        <v>262</v>
      </c>
      <c r="AK162" s="31" t="s">
        <v>259</v>
      </c>
      <c r="AL162" s="31"/>
      <c r="AM162" s="31"/>
      <c r="AN162" s="31"/>
      <c r="AO162" s="31"/>
      <c r="AP162" s="31"/>
      <c r="AQ162" s="31"/>
      <c r="AR162" s="31"/>
      <c r="AS162" s="30">
        <v>36</v>
      </c>
      <c r="AT162" s="37"/>
      <c r="AU162" s="37"/>
      <c r="AV162" s="37"/>
      <c r="AW162" s="37"/>
      <c r="AX162" s="37"/>
      <c r="AY162" s="38"/>
      <c r="AZ162" s="38"/>
      <c r="BA162" s="38"/>
      <c r="BB162" s="46"/>
      <c r="BC162" s="135">
        <v>15</v>
      </c>
      <c r="BD162" s="37"/>
      <c r="BE162" s="5"/>
      <c r="BF162" s="5"/>
      <c r="BG162" s="47" t="s">
        <v>1438</v>
      </c>
      <c r="BH162" s="47" t="s">
        <v>1445</v>
      </c>
      <c r="BI162" s="47" t="s">
        <v>1446</v>
      </c>
      <c r="BJ162" s="60"/>
      <c r="BK162" s="49">
        <v>3</v>
      </c>
    </row>
    <row x14ac:dyDescent="0.25" r="163" customHeight="1" ht="31.5">
      <c r="A163" s="30" t="s">
        <v>1447</v>
      </c>
      <c r="B163" s="5" t="s">
        <v>1448</v>
      </c>
      <c r="C163" s="31" t="s">
        <v>1449</v>
      </c>
      <c r="D163" s="31" t="s">
        <v>1450</v>
      </c>
      <c r="E163" s="5"/>
      <c r="F163" s="5" t="s">
        <v>637</v>
      </c>
      <c r="G163" s="5" t="s">
        <v>1329</v>
      </c>
      <c r="H163" s="31" t="s">
        <v>1451</v>
      </c>
      <c r="I163" s="32"/>
      <c r="J163" s="32"/>
      <c r="K163" s="5" t="s">
        <v>1452</v>
      </c>
      <c r="L163" s="5"/>
      <c r="M163" s="5" t="s">
        <v>231</v>
      </c>
      <c r="N163" s="5" t="s">
        <v>579</v>
      </c>
      <c r="O163" s="33"/>
      <c r="P163" s="5"/>
      <c r="Q163" s="1" t="s">
        <v>251</v>
      </c>
      <c r="R163" s="31" t="s">
        <v>286</v>
      </c>
      <c r="S163" s="31"/>
      <c r="T163" s="31"/>
      <c r="U163" s="31" t="s">
        <v>1453</v>
      </c>
      <c r="V163" s="5"/>
      <c r="W163" s="40">
        <v>1</v>
      </c>
      <c r="X163" s="178" t="s">
        <v>1407</v>
      </c>
      <c r="Y163" s="42"/>
      <c r="Z163" s="35">
        <v>0</v>
      </c>
      <c r="AA163" s="31" t="s">
        <v>1454</v>
      </c>
      <c r="AB163" s="31" t="s">
        <v>1455</v>
      </c>
      <c r="AC163" s="5" t="s">
        <v>24</v>
      </c>
      <c r="AD163" s="5" t="s">
        <v>259</v>
      </c>
      <c r="AE163" s="36" t="s">
        <v>1410</v>
      </c>
      <c r="AF163" s="31" t="s">
        <v>664</v>
      </c>
      <c r="AG163" s="31" t="s">
        <v>43</v>
      </c>
      <c r="AH163" s="31"/>
      <c r="AI163" s="31"/>
      <c r="AJ163" s="31" t="s">
        <v>262</v>
      </c>
      <c r="AK163" s="31" t="s">
        <v>259</v>
      </c>
      <c r="AL163" s="31"/>
      <c r="AM163" s="31"/>
      <c r="AN163" s="31"/>
      <c r="AO163" s="31"/>
      <c r="AP163" s="31"/>
      <c r="AQ163" s="31"/>
      <c r="AR163" s="31"/>
      <c r="AS163" s="30">
        <v>37</v>
      </c>
      <c r="AT163" s="37"/>
      <c r="AU163" s="37"/>
      <c r="AV163" s="37"/>
      <c r="AW163" s="37"/>
      <c r="AX163" s="37"/>
      <c r="AY163" s="38"/>
      <c r="AZ163" s="38"/>
      <c r="BA163" s="38"/>
      <c r="BB163" s="46"/>
      <c r="BC163" s="135">
        <v>16</v>
      </c>
      <c r="BD163" s="37"/>
      <c r="BE163" s="5"/>
      <c r="BF163" s="5"/>
      <c r="BG163" s="47" t="s">
        <v>1449</v>
      </c>
      <c r="BH163" s="47" t="s">
        <v>1456</v>
      </c>
      <c r="BI163" s="47" t="s">
        <v>1457</v>
      </c>
      <c r="BJ163" s="60"/>
      <c r="BK163" s="49">
        <v>3</v>
      </c>
    </row>
    <row x14ac:dyDescent="0.25" r="164" customHeight="1" ht="31.5">
      <c r="A164" s="168">
        <v>10001</v>
      </c>
      <c r="B164" s="169" t="s">
        <v>1458</v>
      </c>
      <c r="C164" s="36" t="s">
        <v>1459</v>
      </c>
      <c r="D164" s="36" t="s">
        <v>1460</v>
      </c>
      <c r="E164" s="169"/>
      <c r="F164" s="169" t="s">
        <v>637</v>
      </c>
      <c r="G164" s="169" t="s">
        <v>1329</v>
      </c>
      <c r="H164" s="36" t="s">
        <v>1461</v>
      </c>
      <c r="I164" s="36"/>
      <c r="J164" s="36"/>
      <c r="K164" s="169" t="s">
        <v>1462</v>
      </c>
      <c r="L164" s="169"/>
      <c r="M164" s="169" t="s">
        <v>231</v>
      </c>
      <c r="N164" s="169" t="s">
        <v>580</v>
      </c>
      <c r="O164" s="33"/>
      <c r="P164" s="169"/>
      <c r="Q164" s="170" t="s">
        <v>251</v>
      </c>
      <c r="R164" s="36" t="s">
        <v>252</v>
      </c>
      <c r="S164" s="36"/>
      <c r="T164" s="36" t="s">
        <v>1463</v>
      </c>
      <c r="U164" s="36" t="s">
        <v>1459</v>
      </c>
      <c r="V164" s="169"/>
      <c r="W164" s="172">
        <v>1</v>
      </c>
      <c r="X164" s="178" t="s">
        <v>1407</v>
      </c>
      <c r="Y164" s="173"/>
      <c r="Z164" s="179">
        <v>1</v>
      </c>
      <c r="AA164" s="36" t="s">
        <v>1464</v>
      </c>
      <c r="AB164" s="36" t="s">
        <v>1465</v>
      </c>
      <c r="AC164" s="5" t="s">
        <v>24</v>
      </c>
      <c r="AD164" s="169" t="s">
        <v>259</v>
      </c>
      <c r="AE164" s="36" t="s">
        <v>1410</v>
      </c>
      <c r="AF164" s="36" t="s">
        <v>641</v>
      </c>
      <c r="AG164" s="36" t="s">
        <v>29</v>
      </c>
      <c r="AH164" s="36"/>
      <c r="AI164" s="36"/>
      <c r="AJ164" s="36" t="s">
        <v>262</v>
      </c>
      <c r="AK164" s="36" t="s">
        <v>259</v>
      </c>
      <c r="AL164" s="36"/>
      <c r="AM164" s="36"/>
      <c r="AN164" s="36"/>
      <c r="AO164" s="36"/>
      <c r="AP164" s="36"/>
      <c r="AQ164" s="31"/>
      <c r="AR164" s="31" t="s">
        <v>263</v>
      </c>
      <c r="AS164" s="168">
        <v>4</v>
      </c>
      <c r="AT164" s="175"/>
      <c r="AU164" s="175"/>
      <c r="AV164" s="175"/>
      <c r="AW164" s="175"/>
      <c r="AX164" s="175"/>
      <c r="AY164" s="176"/>
      <c r="AZ164" s="176"/>
      <c r="BA164" s="176"/>
      <c r="BB164" s="177"/>
      <c r="BC164" s="37">
        <v>17</v>
      </c>
      <c r="BD164" s="37"/>
      <c r="BE164" s="169"/>
      <c r="BF164" s="169"/>
      <c r="BG164" s="47" t="s">
        <v>1459</v>
      </c>
      <c r="BH164" s="31" t="s">
        <v>1459</v>
      </c>
      <c r="BI164" s="31" t="s">
        <v>1459</v>
      </c>
      <c r="BJ164" s="48"/>
      <c r="BK164" s="49">
        <v>3</v>
      </c>
    </row>
    <row x14ac:dyDescent="0.25" r="165" customHeight="1" ht="31.5">
      <c r="A165" s="168" t="s">
        <v>1466</v>
      </c>
      <c r="B165" s="169" t="s">
        <v>1467</v>
      </c>
      <c r="C165" s="36" t="s">
        <v>1468</v>
      </c>
      <c r="D165" s="36" t="s">
        <v>1469</v>
      </c>
      <c r="E165" s="169"/>
      <c r="F165" s="169" t="s">
        <v>637</v>
      </c>
      <c r="G165" s="169" t="s">
        <v>1329</v>
      </c>
      <c r="H165" s="36" t="s">
        <v>1470</v>
      </c>
      <c r="I165" s="36"/>
      <c r="J165" s="36"/>
      <c r="K165" s="169" t="s">
        <v>1471</v>
      </c>
      <c r="L165" s="169"/>
      <c r="M165" s="169" t="s">
        <v>231</v>
      </c>
      <c r="N165" s="169" t="s">
        <v>579</v>
      </c>
      <c r="O165" s="33"/>
      <c r="P165" s="169"/>
      <c r="Q165" s="170" t="s">
        <v>251</v>
      </c>
      <c r="R165" s="36" t="s">
        <v>252</v>
      </c>
      <c r="S165" s="36"/>
      <c r="T165" s="36"/>
      <c r="U165" s="36" t="s">
        <v>1472</v>
      </c>
      <c r="V165" s="169"/>
      <c r="W165" s="172">
        <v>1</v>
      </c>
      <c r="X165" s="178" t="s">
        <v>1407</v>
      </c>
      <c r="Y165" s="173"/>
      <c r="Z165" s="179">
        <v>1</v>
      </c>
      <c r="AA165" s="36" t="s">
        <v>1473</v>
      </c>
      <c r="AB165" s="36" t="s">
        <v>1474</v>
      </c>
      <c r="AC165" s="5" t="s">
        <v>24</v>
      </c>
      <c r="AD165" s="169" t="s">
        <v>259</v>
      </c>
      <c r="AE165" s="36" t="s">
        <v>1410</v>
      </c>
      <c r="AF165" s="36" t="s">
        <v>649</v>
      </c>
      <c r="AG165" s="36" t="s">
        <v>29</v>
      </c>
      <c r="AH165" s="36"/>
      <c r="AI165" s="36"/>
      <c r="AJ165" s="36" t="s">
        <v>262</v>
      </c>
      <c r="AK165" s="36" t="s">
        <v>259</v>
      </c>
      <c r="AL165" s="169"/>
      <c r="AM165" s="169"/>
      <c r="AN165" s="169"/>
      <c r="AO165" s="169"/>
      <c r="AP165" s="169"/>
      <c r="AQ165" s="169"/>
      <c r="AR165" s="169"/>
      <c r="AS165" s="168">
        <v>30</v>
      </c>
      <c r="AT165" s="175"/>
      <c r="AU165" s="175"/>
      <c r="AV165" s="175"/>
      <c r="AW165" s="175"/>
      <c r="AX165" s="175"/>
      <c r="AY165" s="176"/>
      <c r="AZ165" s="176"/>
      <c r="BA165" s="176"/>
      <c r="BB165" s="177"/>
      <c r="BC165" s="37">
        <v>18</v>
      </c>
      <c r="BD165" s="37"/>
      <c r="BE165" s="169"/>
      <c r="BF165" s="169"/>
      <c r="BG165" s="47" t="s">
        <v>1475</v>
      </c>
      <c r="BH165" s="47" t="s">
        <v>1475</v>
      </c>
      <c r="BI165" s="31" t="s">
        <v>1475</v>
      </c>
      <c r="BJ165" s="48"/>
      <c r="BK165" s="49">
        <v>3</v>
      </c>
    </row>
    <row x14ac:dyDescent="0.25" r="166" customHeight="1" ht="31.5">
      <c r="A166" s="168" t="s">
        <v>1476</v>
      </c>
      <c r="B166" s="169" t="s">
        <v>1477</v>
      </c>
      <c r="C166" s="36" t="s">
        <v>1478</v>
      </c>
      <c r="D166" s="36" t="s">
        <v>1479</v>
      </c>
      <c r="E166" s="169"/>
      <c r="F166" s="169" t="s">
        <v>637</v>
      </c>
      <c r="G166" s="169" t="s">
        <v>1329</v>
      </c>
      <c r="H166" s="36" t="s">
        <v>1480</v>
      </c>
      <c r="I166" s="36"/>
      <c r="J166" s="36"/>
      <c r="K166" s="169" t="s">
        <v>1481</v>
      </c>
      <c r="L166" s="169"/>
      <c r="M166" s="169" t="s">
        <v>231</v>
      </c>
      <c r="N166" s="169" t="s">
        <v>579</v>
      </c>
      <c r="O166" s="33"/>
      <c r="P166" s="169"/>
      <c r="Q166" s="170" t="s">
        <v>251</v>
      </c>
      <c r="R166" s="36" t="s">
        <v>252</v>
      </c>
      <c r="S166" s="36"/>
      <c r="T166" s="36"/>
      <c r="U166" s="36" t="s">
        <v>1478</v>
      </c>
      <c r="V166" s="169"/>
      <c r="W166" s="172">
        <v>1</v>
      </c>
      <c r="X166" s="178" t="s">
        <v>1407</v>
      </c>
      <c r="Y166" s="173"/>
      <c r="Z166" s="179">
        <v>0</v>
      </c>
      <c r="AA166" s="36" t="s">
        <v>1482</v>
      </c>
      <c r="AB166" s="36" t="s">
        <v>1483</v>
      </c>
      <c r="AC166" s="5" t="s">
        <v>24</v>
      </c>
      <c r="AD166" s="169" t="s">
        <v>259</v>
      </c>
      <c r="AE166" s="36" t="s">
        <v>1410</v>
      </c>
      <c r="AF166" s="36" t="s">
        <v>656</v>
      </c>
      <c r="AG166" s="36" t="s">
        <v>29</v>
      </c>
      <c r="AH166" s="36"/>
      <c r="AI166" s="36"/>
      <c r="AJ166" s="36" t="s">
        <v>262</v>
      </c>
      <c r="AK166" s="36" t="s">
        <v>259</v>
      </c>
      <c r="AL166" s="36"/>
      <c r="AM166" s="36"/>
      <c r="AN166" s="36"/>
      <c r="AO166" s="36"/>
      <c r="AP166" s="36"/>
      <c r="AQ166" s="36"/>
      <c r="AR166" s="36"/>
      <c r="AS166" s="168">
        <v>33</v>
      </c>
      <c r="AT166" s="175"/>
      <c r="AU166" s="175"/>
      <c r="AV166" s="175"/>
      <c r="AW166" s="175"/>
      <c r="AX166" s="175"/>
      <c r="AY166" s="176"/>
      <c r="AZ166" s="176"/>
      <c r="BA166" s="176"/>
      <c r="BB166" s="177"/>
      <c r="BC166" s="37">
        <v>19</v>
      </c>
      <c r="BD166" s="37"/>
      <c r="BE166" s="169"/>
      <c r="BF166" s="169"/>
      <c r="BG166" s="47" t="s">
        <v>1484</v>
      </c>
      <c r="BH166" s="47" t="s">
        <v>1484</v>
      </c>
      <c r="BI166" s="31" t="s">
        <v>1484</v>
      </c>
      <c r="BJ166" s="48"/>
      <c r="BK166" s="49">
        <v>3</v>
      </c>
    </row>
    <row x14ac:dyDescent="0.25" r="167" customHeight="1" ht="31.5">
      <c r="A167" s="168" t="s">
        <v>1485</v>
      </c>
      <c r="B167" s="169" t="s">
        <v>1486</v>
      </c>
      <c r="C167" s="36" t="s">
        <v>1487</v>
      </c>
      <c r="D167" s="36" t="s">
        <v>1488</v>
      </c>
      <c r="E167" s="169"/>
      <c r="F167" s="169" t="s">
        <v>637</v>
      </c>
      <c r="G167" s="169" t="s">
        <v>1329</v>
      </c>
      <c r="H167" s="36" t="s">
        <v>1489</v>
      </c>
      <c r="I167" s="36"/>
      <c r="J167" s="36"/>
      <c r="K167" s="169" t="s">
        <v>1490</v>
      </c>
      <c r="L167" s="169"/>
      <c r="M167" s="169" t="s">
        <v>231</v>
      </c>
      <c r="N167" s="169" t="s">
        <v>579</v>
      </c>
      <c r="O167" s="33"/>
      <c r="P167" s="169"/>
      <c r="Q167" s="170" t="s">
        <v>251</v>
      </c>
      <c r="R167" s="36" t="s">
        <v>252</v>
      </c>
      <c r="S167" s="36"/>
      <c r="T167" s="36" t="s">
        <v>1491</v>
      </c>
      <c r="U167" s="36" t="s">
        <v>1487</v>
      </c>
      <c r="V167" s="169"/>
      <c r="W167" s="172">
        <v>1</v>
      </c>
      <c r="X167" s="178" t="s">
        <v>1407</v>
      </c>
      <c r="Y167" s="173"/>
      <c r="Z167" s="179">
        <v>0</v>
      </c>
      <c r="AA167" s="36" t="s">
        <v>1492</v>
      </c>
      <c r="AB167" s="36" t="s">
        <v>1493</v>
      </c>
      <c r="AC167" s="5" t="s">
        <v>24</v>
      </c>
      <c r="AD167" s="169" t="s">
        <v>259</v>
      </c>
      <c r="AE167" s="36" t="s">
        <v>1410</v>
      </c>
      <c r="AF167" s="36" t="s">
        <v>672</v>
      </c>
      <c r="AG167" s="36" t="s">
        <v>29</v>
      </c>
      <c r="AH167" s="36"/>
      <c r="AI167" s="36"/>
      <c r="AJ167" s="36" t="s">
        <v>262</v>
      </c>
      <c r="AK167" s="36" t="s">
        <v>259</v>
      </c>
      <c r="AL167" s="36"/>
      <c r="AM167" s="36"/>
      <c r="AN167" s="36"/>
      <c r="AO167" s="36"/>
      <c r="AP167" s="36"/>
      <c r="AQ167" s="36"/>
      <c r="AR167" s="36"/>
      <c r="AS167" s="168">
        <v>31</v>
      </c>
      <c r="AT167" s="175"/>
      <c r="AU167" s="175"/>
      <c r="AV167" s="175"/>
      <c r="AW167" s="175"/>
      <c r="AX167" s="175"/>
      <c r="AY167" s="176"/>
      <c r="AZ167" s="176"/>
      <c r="BA167" s="176"/>
      <c r="BB167" s="177"/>
      <c r="BC167" s="37">
        <v>20</v>
      </c>
      <c r="BD167" s="37"/>
      <c r="BE167" s="169"/>
      <c r="BF167" s="169"/>
      <c r="BG167" s="47" t="s">
        <v>1494</v>
      </c>
      <c r="BH167" s="47" t="s">
        <v>1494</v>
      </c>
      <c r="BI167" s="31" t="s">
        <v>1494</v>
      </c>
      <c r="BJ167" s="48"/>
      <c r="BK167" s="49">
        <v>3</v>
      </c>
    </row>
    <row x14ac:dyDescent="0.25" r="168" customHeight="1" ht="31.5">
      <c r="A168" s="168" t="s">
        <v>1495</v>
      </c>
      <c r="B168" s="169" t="s">
        <v>1496</v>
      </c>
      <c r="C168" s="36" t="s">
        <v>1497</v>
      </c>
      <c r="D168" s="36" t="s">
        <v>1498</v>
      </c>
      <c r="E168" s="169"/>
      <c r="F168" s="169" t="s">
        <v>637</v>
      </c>
      <c r="G168" s="169" t="s">
        <v>1329</v>
      </c>
      <c r="H168" s="36" t="s">
        <v>1499</v>
      </c>
      <c r="I168" s="36"/>
      <c r="J168" s="36"/>
      <c r="K168" s="169" t="s">
        <v>1500</v>
      </c>
      <c r="L168" s="169"/>
      <c r="M168" s="169" t="s">
        <v>231</v>
      </c>
      <c r="N168" s="169" t="s">
        <v>579</v>
      </c>
      <c r="O168" s="33"/>
      <c r="P168" s="169"/>
      <c r="Q168" s="170" t="s">
        <v>251</v>
      </c>
      <c r="R168" s="36" t="s">
        <v>252</v>
      </c>
      <c r="S168" s="36"/>
      <c r="T168" s="36"/>
      <c r="U168" s="36" t="s">
        <v>1501</v>
      </c>
      <c r="V168" s="169"/>
      <c r="W168" s="172">
        <v>1</v>
      </c>
      <c r="X168" s="178" t="s">
        <v>1407</v>
      </c>
      <c r="Y168" s="173"/>
      <c r="Z168" s="179">
        <v>0</v>
      </c>
      <c r="AA168" s="36" t="s">
        <v>1502</v>
      </c>
      <c r="AB168" s="36" t="s">
        <v>1503</v>
      </c>
      <c r="AC168" s="5" t="s">
        <v>24</v>
      </c>
      <c r="AD168" s="169" t="s">
        <v>259</v>
      </c>
      <c r="AE168" s="36" t="s">
        <v>1410</v>
      </c>
      <c r="AF168" s="36" t="s">
        <v>664</v>
      </c>
      <c r="AG168" s="36" t="s">
        <v>29</v>
      </c>
      <c r="AH168" s="36"/>
      <c r="AI168" s="36"/>
      <c r="AJ168" s="36" t="s">
        <v>262</v>
      </c>
      <c r="AK168" s="36" t="s">
        <v>259</v>
      </c>
      <c r="AL168" s="169"/>
      <c r="AM168" s="169"/>
      <c r="AN168" s="169"/>
      <c r="AO168" s="169"/>
      <c r="AP168" s="169"/>
      <c r="AQ168" s="169"/>
      <c r="AR168" s="169"/>
      <c r="AS168" s="168">
        <v>32</v>
      </c>
      <c r="AT168" s="175"/>
      <c r="AU168" s="175"/>
      <c r="AV168" s="175"/>
      <c r="AW168" s="175"/>
      <c r="AX168" s="175"/>
      <c r="AY168" s="176"/>
      <c r="AZ168" s="176"/>
      <c r="BA168" s="176"/>
      <c r="BB168" s="177"/>
      <c r="BC168" s="37">
        <v>21</v>
      </c>
      <c r="BD168" s="37"/>
      <c r="BE168" s="169"/>
      <c r="BF168" s="169"/>
      <c r="BG168" s="47" t="s">
        <v>1504</v>
      </c>
      <c r="BH168" s="47" t="s">
        <v>1504</v>
      </c>
      <c r="BI168" s="31" t="s">
        <v>1504</v>
      </c>
      <c r="BJ168" s="48"/>
      <c r="BK168" s="49">
        <v>3</v>
      </c>
    </row>
    <row x14ac:dyDescent="0.25" r="169" customHeight="1" ht="31.5">
      <c r="A169" s="180">
        <v>10027</v>
      </c>
      <c r="B169" s="181" t="s">
        <v>1505</v>
      </c>
      <c r="C169" s="182" t="s">
        <v>1506</v>
      </c>
      <c r="D169" s="182" t="s">
        <v>1507</v>
      </c>
      <c r="E169" s="181"/>
      <c r="F169" s="181" t="s">
        <v>637</v>
      </c>
      <c r="G169" s="181" t="s">
        <v>1329</v>
      </c>
      <c r="H169" s="182" t="s">
        <v>1508</v>
      </c>
      <c r="I169" s="182"/>
      <c r="J169" s="182"/>
      <c r="K169" s="181" t="s">
        <v>1509</v>
      </c>
      <c r="L169" s="181"/>
      <c r="M169" s="181" t="s">
        <v>231</v>
      </c>
      <c r="N169" s="181" t="s">
        <v>579</v>
      </c>
      <c r="O169" s="33"/>
      <c r="P169" s="181"/>
      <c r="Q169" s="183" t="s">
        <v>251</v>
      </c>
      <c r="R169" s="182" t="s">
        <v>252</v>
      </c>
      <c r="S169" s="182"/>
      <c r="T169" s="182"/>
      <c r="U169" s="182" t="s">
        <v>1510</v>
      </c>
      <c r="V169" s="181"/>
      <c r="W169" s="184">
        <v>1</v>
      </c>
      <c r="X169" s="178" t="s">
        <v>1407</v>
      </c>
      <c r="Y169" s="185"/>
      <c r="Z169" s="186">
        <v>1</v>
      </c>
      <c r="AA169" s="182" t="s">
        <v>1511</v>
      </c>
      <c r="AB169" s="182" t="s">
        <v>1512</v>
      </c>
      <c r="AC169" s="5" t="s">
        <v>24</v>
      </c>
      <c r="AD169" s="181" t="s">
        <v>259</v>
      </c>
      <c r="AE169" s="36" t="s">
        <v>1410</v>
      </c>
      <c r="AF169" s="182" t="s">
        <v>641</v>
      </c>
      <c r="AG169" s="182" t="s">
        <v>15</v>
      </c>
      <c r="AH169" s="182"/>
      <c r="AI169" s="182"/>
      <c r="AJ169" s="182" t="s">
        <v>262</v>
      </c>
      <c r="AK169" s="182" t="s">
        <v>259</v>
      </c>
      <c r="AL169" s="182"/>
      <c r="AM169" s="182"/>
      <c r="AN169" s="182"/>
      <c r="AO169" s="182"/>
      <c r="AP169" s="182"/>
      <c r="AQ169" s="31"/>
      <c r="AR169" s="31" t="s">
        <v>263</v>
      </c>
      <c r="AS169" s="180">
        <v>21</v>
      </c>
      <c r="AT169" s="187"/>
      <c r="AU169" s="187"/>
      <c r="AV169" s="187"/>
      <c r="AW169" s="187"/>
      <c r="AX169" s="187"/>
      <c r="AY169" s="188"/>
      <c r="AZ169" s="188"/>
      <c r="BA169" s="188"/>
      <c r="BB169" s="189"/>
      <c r="BC169" s="37">
        <v>22</v>
      </c>
      <c r="BD169" s="37"/>
      <c r="BE169" s="181"/>
      <c r="BF169" s="181"/>
      <c r="BG169" s="47" t="s">
        <v>1513</v>
      </c>
      <c r="BH169" s="31" t="s">
        <v>1513</v>
      </c>
      <c r="BI169" s="31" t="s">
        <v>1513</v>
      </c>
      <c r="BJ169" s="48"/>
      <c r="BK169" s="49">
        <v>3</v>
      </c>
    </row>
    <row x14ac:dyDescent="0.25" r="170" customHeight="1" ht="31.5">
      <c r="A170" s="180" t="s">
        <v>1514</v>
      </c>
      <c r="B170" s="181" t="s">
        <v>1515</v>
      </c>
      <c r="C170" s="182" t="s">
        <v>1516</v>
      </c>
      <c r="D170" s="182" t="s">
        <v>1517</v>
      </c>
      <c r="E170" s="181"/>
      <c r="F170" s="181" t="s">
        <v>637</v>
      </c>
      <c r="G170" s="181" t="s">
        <v>1329</v>
      </c>
      <c r="H170" s="182" t="s">
        <v>1518</v>
      </c>
      <c r="I170" s="182"/>
      <c r="J170" s="182"/>
      <c r="K170" s="5" t="s">
        <v>1519</v>
      </c>
      <c r="L170" s="181"/>
      <c r="M170" s="181" t="s">
        <v>231</v>
      </c>
      <c r="N170" s="181" t="s">
        <v>579</v>
      </c>
      <c r="O170" s="33"/>
      <c r="P170" s="181"/>
      <c r="Q170" s="183" t="s">
        <v>251</v>
      </c>
      <c r="R170" s="182" t="s">
        <v>252</v>
      </c>
      <c r="S170" s="182"/>
      <c r="T170" s="182"/>
      <c r="U170" s="182" t="s">
        <v>1520</v>
      </c>
      <c r="V170" s="181"/>
      <c r="W170" s="184">
        <v>1</v>
      </c>
      <c r="X170" s="31" t="s">
        <v>581</v>
      </c>
      <c r="Y170" s="185"/>
      <c r="Z170" s="186">
        <v>1</v>
      </c>
      <c r="AA170" s="182" t="s">
        <v>1521</v>
      </c>
      <c r="AB170" s="182" t="s">
        <v>1522</v>
      </c>
      <c r="AC170" s="5" t="s">
        <v>24</v>
      </c>
      <c r="AD170" s="181" t="s">
        <v>259</v>
      </c>
      <c r="AE170" s="36" t="s">
        <v>1410</v>
      </c>
      <c r="AF170" s="182" t="s">
        <v>649</v>
      </c>
      <c r="AG170" s="182" t="s">
        <v>15</v>
      </c>
      <c r="AH170" s="182"/>
      <c r="AI170" s="182"/>
      <c r="AJ170" s="182" t="s">
        <v>262</v>
      </c>
      <c r="AK170" s="182" t="s">
        <v>259</v>
      </c>
      <c r="AL170" s="182"/>
      <c r="AM170" s="182"/>
      <c r="AN170" s="182"/>
      <c r="AO170" s="182"/>
      <c r="AP170" s="182"/>
      <c r="AQ170" s="182"/>
      <c r="AR170" s="182"/>
      <c r="AS170" s="180">
        <v>26</v>
      </c>
      <c r="AT170" s="187"/>
      <c r="AU170" s="187"/>
      <c r="AV170" s="187"/>
      <c r="AW170" s="187"/>
      <c r="AX170" s="187"/>
      <c r="AY170" s="188"/>
      <c r="AZ170" s="188"/>
      <c r="BA170" s="188"/>
      <c r="BB170" s="189"/>
      <c r="BC170" s="37">
        <v>23</v>
      </c>
      <c r="BD170" s="37"/>
      <c r="BE170" s="181"/>
      <c r="BF170" s="181"/>
      <c r="BG170" s="47" t="s">
        <v>1523</v>
      </c>
      <c r="BH170" s="47" t="s">
        <v>1524</v>
      </c>
      <c r="BI170" s="47" t="s">
        <v>1524</v>
      </c>
      <c r="BJ170" s="60"/>
      <c r="BK170" s="49">
        <v>3</v>
      </c>
    </row>
    <row x14ac:dyDescent="0.25" r="171" customHeight="1" ht="31.5">
      <c r="A171" s="180" t="s">
        <v>1525</v>
      </c>
      <c r="B171" s="181" t="s">
        <v>1526</v>
      </c>
      <c r="C171" s="182" t="s">
        <v>1527</v>
      </c>
      <c r="D171" s="182" t="s">
        <v>1528</v>
      </c>
      <c r="E171" s="181"/>
      <c r="F171" s="181" t="s">
        <v>637</v>
      </c>
      <c r="G171" s="181" t="s">
        <v>1329</v>
      </c>
      <c r="H171" s="182" t="s">
        <v>1529</v>
      </c>
      <c r="I171" s="182"/>
      <c r="J171" s="182"/>
      <c r="K171" s="5" t="s">
        <v>1530</v>
      </c>
      <c r="L171" s="181"/>
      <c r="M171" s="181" t="s">
        <v>231</v>
      </c>
      <c r="N171" s="181" t="s">
        <v>579</v>
      </c>
      <c r="O171" s="33"/>
      <c r="P171" s="181"/>
      <c r="Q171" s="183" t="s">
        <v>251</v>
      </c>
      <c r="R171" s="182" t="s">
        <v>252</v>
      </c>
      <c r="S171" s="182"/>
      <c r="T171" s="182" t="s">
        <v>1531</v>
      </c>
      <c r="U171" s="182" t="s">
        <v>1532</v>
      </c>
      <c r="V171" s="181"/>
      <c r="W171" s="184">
        <v>1</v>
      </c>
      <c r="X171" s="178" t="s">
        <v>1407</v>
      </c>
      <c r="Y171" s="185"/>
      <c r="Z171" s="186">
        <v>0</v>
      </c>
      <c r="AA171" s="182" t="s">
        <v>1533</v>
      </c>
      <c r="AB171" s="182" t="s">
        <v>1534</v>
      </c>
      <c r="AC171" s="5" t="s">
        <v>24</v>
      </c>
      <c r="AD171" s="181" t="s">
        <v>259</v>
      </c>
      <c r="AE171" s="36" t="s">
        <v>1410</v>
      </c>
      <c r="AF171" s="182" t="s">
        <v>672</v>
      </c>
      <c r="AG171" s="182" t="s">
        <v>15</v>
      </c>
      <c r="AH171" s="182"/>
      <c r="AI171" s="182"/>
      <c r="AJ171" s="182" t="s">
        <v>262</v>
      </c>
      <c r="AK171" s="182" t="s">
        <v>259</v>
      </c>
      <c r="AL171" s="182"/>
      <c r="AM171" s="182"/>
      <c r="AN171" s="182"/>
      <c r="AO171" s="182"/>
      <c r="AP171" s="182"/>
      <c r="AQ171" s="182"/>
      <c r="AR171" s="182"/>
      <c r="AS171" s="180">
        <v>27</v>
      </c>
      <c r="AT171" s="187"/>
      <c r="AU171" s="187"/>
      <c r="AV171" s="187"/>
      <c r="AW171" s="187"/>
      <c r="AX171" s="187"/>
      <c r="AY171" s="188"/>
      <c r="AZ171" s="188"/>
      <c r="BA171" s="188"/>
      <c r="BB171" s="189"/>
      <c r="BC171" s="37">
        <v>24</v>
      </c>
      <c r="BD171" s="37"/>
      <c r="BE171" s="181"/>
      <c r="BF171" s="181"/>
      <c r="BG171" s="47" t="s">
        <v>1535</v>
      </c>
      <c r="BH171" s="47" t="s">
        <v>1535</v>
      </c>
      <c r="BI171" s="47" t="s">
        <v>1535</v>
      </c>
      <c r="BJ171" s="60"/>
      <c r="BK171" s="49">
        <v>3</v>
      </c>
    </row>
    <row x14ac:dyDescent="0.25" r="172" customHeight="1" ht="31.5">
      <c r="A172" s="180" t="s">
        <v>1536</v>
      </c>
      <c r="B172" s="181" t="s">
        <v>1537</v>
      </c>
      <c r="C172" s="182" t="s">
        <v>1538</v>
      </c>
      <c r="D172" s="182" t="s">
        <v>1539</v>
      </c>
      <c r="E172" s="181"/>
      <c r="F172" s="181" t="s">
        <v>637</v>
      </c>
      <c r="G172" s="181" t="s">
        <v>1329</v>
      </c>
      <c r="H172" s="182" t="s">
        <v>1540</v>
      </c>
      <c r="I172" s="182"/>
      <c r="J172" s="182"/>
      <c r="K172" s="5" t="s">
        <v>1541</v>
      </c>
      <c r="L172" s="181"/>
      <c r="M172" s="181" t="s">
        <v>231</v>
      </c>
      <c r="N172" s="181" t="s">
        <v>579</v>
      </c>
      <c r="O172" s="33"/>
      <c r="P172" s="181"/>
      <c r="Q172" s="183" t="s">
        <v>251</v>
      </c>
      <c r="R172" s="182" t="s">
        <v>252</v>
      </c>
      <c r="S172" s="182"/>
      <c r="T172" s="182"/>
      <c r="U172" s="182" t="s">
        <v>1542</v>
      </c>
      <c r="V172" s="181"/>
      <c r="W172" s="184">
        <v>1</v>
      </c>
      <c r="X172" s="178" t="s">
        <v>1407</v>
      </c>
      <c r="Y172" s="185"/>
      <c r="Z172" s="186">
        <v>0</v>
      </c>
      <c r="AA172" s="182" t="s">
        <v>1543</v>
      </c>
      <c r="AB172" s="182" t="s">
        <v>1544</v>
      </c>
      <c r="AC172" s="5" t="s">
        <v>24</v>
      </c>
      <c r="AD172" s="181" t="s">
        <v>259</v>
      </c>
      <c r="AE172" s="36" t="s">
        <v>1410</v>
      </c>
      <c r="AF172" s="182" t="s">
        <v>664</v>
      </c>
      <c r="AG172" s="182" t="s">
        <v>15</v>
      </c>
      <c r="AH172" s="182"/>
      <c r="AI172" s="182"/>
      <c r="AJ172" s="182" t="s">
        <v>262</v>
      </c>
      <c r="AK172" s="182" t="s">
        <v>259</v>
      </c>
      <c r="AL172" s="182"/>
      <c r="AM172" s="182"/>
      <c r="AN172" s="182"/>
      <c r="AO172" s="182"/>
      <c r="AP172" s="182"/>
      <c r="AQ172" s="182"/>
      <c r="AR172" s="182"/>
      <c r="AS172" s="180">
        <v>28</v>
      </c>
      <c r="AT172" s="187"/>
      <c r="AU172" s="187"/>
      <c r="AV172" s="187"/>
      <c r="AW172" s="187"/>
      <c r="AX172" s="187"/>
      <c r="AY172" s="188"/>
      <c r="AZ172" s="188"/>
      <c r="BA172" s="188"/>
      <c r="BB172" s="189"/>
      <c r="BC172" s="37">
        <v>25</v>
      </c>
      <c r="BD172" s="37"/>
      <c r="BE172" s="181"/>
      <c r="BF172" s="181"/>
      <c r="BG172" s="47" t="s">
        <v>1545</v>
      </c>
      <c r="BH172" s="47" t="s">
        <v>1545</v>
      </c>
      <c r="BI172" s="47" t="s">
        <v>1545</v>
      </c>
      <c r="BJ172" s="60"/>
      <c r="BK172" s="49">
        <v>3</v>
      </c>
    </row>
    <row x14ac:dyDescent="0.25" r="173" customHeight="1" ht="31.5">
      <c r="A173" s="180" t="s">
        <v>1546</v>
      </c>
      <c r="B173" s="181" t="s">
        <v>1547</v>
      </c>
      <c r="C173" s="182" t="s">
        <v>1548</v>
      </c>
      <c r="D173" s="182" t="s">
        <v>1549</v>
      </c>
      <c r="E173" s="181"/>
      <c r="F173" s="181" t="s">
        <v>637</v>
      </c>
      <c r="G173" s="181" t="s">
        <v>1329</v>
      </c>
      <c r="H173" s="182" t="s">
        <v>1550</v>
      </c>
      <c r="I173" s="182"/>
      <c r="J173" s="182"/>
      <c r="K173" s="5" t="s">
        <v>1551</v>
      </c>
      <c r="L173" s="181"/>
      <c r="M173" s="181" t="s">
        <v>231</v>
      </c>
      <c r="N173" s="181" t="s">
        <v>579</v>
      </c>
      <c r="O173" s="33"/>
      <c r="P173" s="181"/>
      <c r="Q173" s="183" t="s">
        <v>251</v>
      </c>
      <c r="R173" s="182" t="s">
        <v>252</v>
      </c>
      <c r="S173" s="182"/>
      <c r="T173" s="182" t="s">
        <v>1552</v>
      </c>
      <c r="U173" s="182" t="s">
        <v>1553</v>
      </c>
      <c r="V173" s="181"/>
      <c r="W173" s="184">
        <v>1</v>
      </c>
      <c r="X173" s="178" t="s">
        <v>1407</v>
      </c>
      <c r="Y173" s="185"/>
      <c r="Z173" s="186">
        <v>0</v>
      </c>
      <c r="AA173" s="182" t="s">
        <v>1549</v>
      </c>
      <c r="AB173" s="182" t="s">
        <v>1554</v>
      </c>
      <c r="AC173" s="5" t="s">
        <v>24</v>
      </c>
      <c r="AD173" s="181" t="s">
        <v>259</v>
      </c>
      <c r="AE173" s="36" t="s">
        <v>1410</v>
      </c>
      <c r="AF173" s="182" t="s">
        <v>656</v>
      </c>
      <c r="AG173" s="182" t="s">
        <v>15</v>
      </c>
      <c r="AH173" s="182"/>
      <c r="AI173" s="182"/>
      <c r="AJ173" s="182" t="s">
        <v>262</v>
      </c>
      <c r="AK173" s="182" t="s">
        <v>259</v>
      </c>
      <c r="AL173" s="182"/>
      <c r="AM173" s="182"/>
      <c r="AN173" s="182"/>
      <c r="AO173" s="182"/>
      <c r="AP173" s="182"/>
      <c r="AQ173" s="182"/>
      <c r="AR173" s="182"/>
      <c r="AS173" s="180">
        <v>29</v>
      </c>
      <c r="AT173" s="187"/>
      <c r="AU173" s="187"/>
      <c r="AV173" s="187"/>
      <c r="AW173" s="187"/>
      <c r="AX173" s="187"/>
      <c r="AY173" s="188"/>
      <c r="AZ173" s="188"/>
      <c r="BA173" s="188"/>
      <c r="BB173" s="189"/>
      <c r="BC173" s="37">
        <v>26</v>
      </c>
      <c r="BD173" s="37"/>
      <c r="BE173" s="181"/>
      <c r="BF173" s="181"/>
      <c r="BG173" s="47" t="s">
        <v>1555</v>
      </c>
      <c r="BH173" s="47" t="s">
        <v>1555</v>
      </c>
      <c r="BI173" s="47" t="s">
        <v>1555</v>
      </c>
      <c r="BJ173" s="60"/>
      <c r="BK173" s="49">
        <v>3</v>
      </c>
    </row>
    <row x14ac:dyDescent="0.25" r="174" customHeight="1" ht="31.5">
      <c r="A174" s="30">
        <v>10019</v>
      </c>
      <c r="B174" s="5" t="s">
        <v>1556</v>
      </c>
      <c r="C174" s="31" t="s">
        <v>1557</v>
      </c>
      <c r="D174" s="31" t="s">
        <v>1558</v>
      </c>
      <c r="E174" s="5"/>
      <c r="F174" s="5" t="s">
        <v>637</v>
      </c>
      <c r="G174" s="5" t="s">
        <v>1329</v>
      </c>
      <c r="H174" s="31" t="s">
        <v>1559</v>
      </c>
      <c r="I174" s="32"/>
      <c r="J174" s="32"/>
      <c r="K174" s="5" t="s">
        <v>1560</v>
      </c>
      <c r="L174" s="5"/>
      <c r="M174" s="5" t="s">
        <v>231</v>
      </c>
      <c r="N174" s="5" t="s">
        <v>579</v>
      </c>
      <c r="O174" s="33"/>
      <c r="P174" s="5"/>
      <c r="Q174" s="1" t="s">
        <v>251</v>
      </c>
      <c r="R174" s="31" t="s">
        <v>286</v>
      </c>
      <c r="S174" s="31"/>
      <c r="T174" s="31"/>
      <c r="U174" s="31" t="s">
        <v>1557</v>
      </c>
      <c r="V174" s="5"/>
      <c r="W174" s="34">
        <v>1</v>
      </c>
      <c r="X174" s="178" t="s">
        <v>1407</v>
      </c>
      <c r="Y174" s="5"/>
      <c r="Z174" s="35">
        <v>1</v>
      </c>
      <c r="AA174" s="31" t="s">
        <v>1561</v>
      </c>
      <c r="AB174" s="31" t="s">
        <v>1562</v>
      </c>
      <c r="AC174" s="5" t="s">
        <v>24</v>
      </c>
      <c r="AD174" s="5" t="s">
        <v>259</v>
      </c>
      <c r="AE174" s="36" t="s">
        <v>1410</v>
      </c>
      <c r="AF174" s="31" t="s">
        <v>641</v>
      </c>
      <c r="AG174" s="31" t="s">
        <v>56</v>
      </c>
      <c r="AH174" s="31"/>
      <c r="AI174" s="31"/>
      <c r="AJ174" s="31" t="s">
        <v>262</v>
      </c>
      <c r="AK174" s="31" t="s">
        <v>259</v>
      </c>
      <c r="AL174" s="31"/>
      <c r="AM174" s="31"/>
      <c r="AN174" s="31"/>
      <c r="AO174" s="31"/>
      <c r="AP174" s="31"/>
      <c r="AQ174" s="31"/>
      <c r="AR174" s="31"/>
      <c r="AS174" s="30">
        <v>19</v>
      </c>
      <c r="AT174" s="37"/>
      <c r="AU174" s="37"/>
      <c r="AV174" s="37"/>
      <c r="AW174" s="37"/>
      <c r="AX174" s="37"/>
      <c r="AY174" s="38"/>
      <c r="AZ174" s="38"/>
      <c r="BA174" s="38"/>
      <c r="BB174" s="46"/>
      <c r="BC174" s="37">
        <v>27</v>
      </c>
      <c r="BD174" s="37"/>
      <c r="BE174" s="5"/>
      <c r="BF174" s="5"/>
      <c r="BG174" s="47" t="s">
        <v>1563</v>
      </c>
      <c r="BH174" s="47" t="s">
        <v>1564</v>
      </c>
      <c r="BI174" s="47" t="s">
        <v>1565</v>
      </c>
      <c r="BJ174" s="60"/>
      <c r="BK174" s="49">
        <v>3</v>
      </c>
    </row>
    <row x14ac:dyDescent="0.25" r="175" customHeight="1" ht="41.25">
      <c r="A175" s="30" t="s">
        <v>1566</v>
      </c>
      <c r="B175" s="5" t="s">
        <v>1567</v>
      </c>
      <c r="C175" s="31" t="s">
        <v>1568</v>
      </c>
      <c r="D175" s="31" t="s">
        <v>1569</v>
      </c>
      <c r="E175" s="5"/>
      <c r="F175" s="5" t="s">
        <v>637</v>
      </c>
      <c r="G175" s="5" t="s">
        <v>1329</v>
      </c>
      <c r="H175" s="31" t="s">
        <v>1570</v>
      </c>
      <c r="I175" s="32"/>
      <c r="J175" s="32"/>
      <c r="K175" s="5" t="s">
        <v>1571</v>
      </c>
      <c r="L175" s="5"/>
      <c r="M175" s="5" t="s">
        <v>231</v>
      </c>
      <c r="N175" s="5" t="s">
        <v>579</v>
      </c>
      <c r="O175" s="33"/>
      <c r="P175" s="5"/>
      <c r="Q175" s="1" t="s">
        <v>251</v>
      </c>
      <c r="R175" s="31" t="s">
        <v>286</v>
      </c>
      <c r="S175" s="31"/>
      <c r="T175" s="31"/>
      <c r="U175" s="31" t="s">
        <v>1572</v>
      </c>
      <c r="V175" s="5"/>
      <c r="W175" s="40">
        <v>1</v>
      </c>
      <c r="X175" s="178" t="s">
        <v>1407</v>
      </c>
      <c r="Y175" s="42"/>
      <c r="Z175" s="35">
        <v>1</v>
      </c>
      <c r="AA175" s="31" t="s">
        <v>1569</v>
      </c>
      <c r="AB175" s="31" t="s">
        <v>1573</v>
      </c>
      <c r="AC175" s="5" t="s">
        <v>24</v>
      </c>
      <c r="AD175" s="5" t="s">
        <v>259</v>
      </c>
      <c r="AE175" s="36" t="s">
        <v>1410</v>
      </c>
      <c r="AF175" s="31" t="s">
        <v>649</v>
      </c>
      <c r="AG175" s="31" t="s">
        <v>56</v>
      </c>
      <c r="AH175" s="31"/>
      <c r="AI175" s="31"/>
      <c r="AJ175" s="31" t="s">
        <v>262</v>
      </c>
      <c r="AK175" s="31" t="s">
        <v>259</v>
      </c>
      <c r="AL175" s="31"/>
      <c r="AM175" s="31"/>
      <c r="AN175" s="31"/>
      <c r="AO175" s="31"/>
      <c r="AP175" s="31"/>
      <c r="AQ175" s="31"/>
      <c r="AR175" s="31"/>
      <c r="AS175" s="30">
        <v>38</v>
      </c>
      <c r="AT175" s="37"/>
      <c r="AU175" s="37"/>
      <c r="AV175" s="37"/>
      <c r="AW175" s="37"/>
      <c r="AX175" s="37"/>
      <c r="AY175" s="38"/>
      <c r="AZ175" s="38"/>
      <c r="BA175" s="38"/>
      <c r="BB175" s="46"/>
      <c r="BC175" s="37">
        <v>28</v>
      </c>
      <c r="BD175" s="37"/>
      <c r="BE175" s="5"/>
      <c r="BF175" s="5"/>
      <c r="BG175" s="47" t="s">
        <v>1574</v>
      </c>
      <c r="BH175" s="47" t="s">
        <v>1575</v>
      </c>
      <c r="BI175" s="47" t="s">
        <v>1576</v>
      </c>
      <c r="BJ175" s="60"/>
      <c r="BK175" s="49">
        <v>3</v>
      </c>
    </row>
    <row x14ac:dyDescent="0.25" r="176" customHeight="1" ht="52.5">
      <c r="A176" s="30" t="s">
        <v>1577</v>
      </c>
      <c r="B176" s="5" t="s">
        <v>1578</v>
      </c>
      <c r="C176" s="31" t="s">
        <v>1579</v>
      </c>
      <c r="D176" s="31" t="s">
        <v>1580</v>
      </c>
      <c r="E176" s="5"/>
      <c r="F176" s="5" t="s">
        <v>637</v>
      </c>
      <c r="G176" s="5" t="s">
        <v>1329</v>
      </c>
      <c r="H176" s="31" t="s">
        <v>1581</v>
      </c>
      <c r="I176" s="32"/>
      <c r="J176" s="32"/>
      <c r="K176" s="5" t="s">
        <v>1582</v>
      </c>
      <c r="L176" s="5"/>
      <c r="M176" s="5" t="s">
        <v>231</v>
      </c>
      <c r="N176" s="5" t="s">
        <v>579</v>
      </c>
      <c r="O176" s="33"/>
      <c r="P176" s="5"/>
      <c r="Q176" s="1" t="s">
        <v>251</v>
      </c>
      <c r="R176" s="31" t="s">
        <v>286</v>
      </c>
      <c r="S176" s="31"/>
      <c r="T176" s="31"/>
      <c r="U176" s="31" t="s">
        <v>1583</v>
      </c>
      <c r="V176" s="5"/>
      <c r="W176" s="40">
        <v>1</v>
      </c>
      <c r="X176" s="178" t="s">
        <v>1407</v>
      </c>
      <c r="Y176" s="42"/>
      <c r="Z176" s="35">
        <v>0</v>
      </c>
      <c r="AA176" s="31" t="s">
        <v>1580</v>
      </c>
      <c r="AB176" s="31" t="s">
        <v>1584</v>
      </c>
      <c r="AC176" s="5" t="s">
        <v>24</v>
      </c>
      <c r="AD176" s="5" t="s">
        <v>259</v>
      </c>
      <c r="AE176" s="36" t="s">
        <v>1410</v>
      </c>
      <c r="AF176" s="31" t="s">
        <v>656</v>
      </c>
      <c r="AG176" s="31" t="s">
        <v>56</v>
      </c>
      <c r="AH176" s="31"/>
      <c r="AI176" s="31"/>
      <c r="AJ176" s="31" t="s">
        <v>262</v>
      </c>
      <c r="AK176" s="31" t="s">
        <v>259</v>
      </c>
      <c r="AL176" s="31"/>
      <c r="AM176" s="31"/>
      <c r="AN176" s="31"/>
      <c r="AO176" s="31"/>
      <c r="AP176" s="31"/>
      <c r="AQ176" s="31"/>
      <c r="AR176" s="31"/>
      <c r="AS176" s="30">
        <v>39</v>
      </c>
      <c r="AT176" s="37"/>
      <c r="AU176" s="37"/>
      <c r="AV176" s="37"/>
      <c r="AW176" s="37"/>
      <c r="AX176" s="37"/>
      <c r="AY176" s="38"/>
      <c r="AZ176" s="38"/>
      <c r="BA176" s="38"/>
      <c r="BB176" s="46"/>
      <c r="BC176" s="37">
        <v>29</v>
      </c>
      <c r="BD176" s="37"/>
      <c r="BE176" s="5"/>
      <c r="BF176" s="5"/>
      <c r="BG176" s="47" t="s">
        <v>1585</v>
      </c>
      <c r="BH176" s="47" t="s">
        <v>1586</v>
      </c>
      <c r="BI176" s="47" t="s">
        <v>1587</v>
      </c>
      <c r="BJ176" s="60"/>
      <c r="BK176" s="49">
        <v>3</v>
      </c>
    </row>
    <row x14ac:dyDescent="0.25" r="177" customHeight="1" ht="37.5">
      <c r="A177" s="30" t="s">
        <v>1588</v>
      </c>
      <c r="B177" s="5" t="s">
        <v>1589</v>
      </c>
      <c r="C177" s="31" t="s">
        <v>1590</v>
      </c>
      <c r="D177" s="31" t="s">
        <v>1591</v>
      </c>
      <c r="E177" s="5"/>
      <c r="F177" s="5" t="s">
        <v>637</v>
      </c>
      <c r="G177" s="5" t="s">
        <v>1329</v>
      </c>
      <c r="H177" s="31" t="s">
        <v>1592</v>
      </c>
      <c r="I177" s="32"/>
      <c r="J177" s="32"/>
      <c r="K177" s="5" t="s">
        <v>1593</v>
      </c>
      <c r="L177" s="5"/>
      <c r="M177" s="5" t="s">
        <v>231</v>
      </c>
      <c r="N177" s="5" t="s">
        <v>579</v>
      </c>
      <c r="O177" s="33"/>
      <c r="P177" s="5"/>
      <c r="Q177" s="1" t="s">
        <v>251</v>
      </c>
      <c r="R177" s="31" t="s">
        <v>286</v>
      </c>
      <c r="S177" s="31"/>
      <c r="T177" s="31"/>
      <c r="U177" s="31" t="s">
        <v>1594</v>
      </c>
      <c r="V177" s="5"/>
      <c r="W177" s="40">
        <v>1</v>
      </c>
      <c r="X177" s="178" t="s">
        <v>1407</v>
      </c>
      <c r="Y177" s="42"/>
      <c r="Z177" s="35">
        <v>0</v>
      </c>
      <c r="AA177" s="31" t="s">
        <v>1595</v>
      </c>
      <c r="AB177" s="31" t="s">
        <v>1596</v>
      </c>
      <c r="AC177" s="5" t="s">
        <v>24</v>
      </c>
      <c r="AD177" s="5" t="s">
        <v>259</v>
      </c>
      <c r="AE177" s="36" t="s">
        <v>1410</v>
      </c>
      <c r="AF177" s="31" t="s">
        <v>672</v>
      </c>
      <c r="AG177" s="31" t="s">
        <v>56</v>
      </c>
      <c r="AH177" s="31"/>
      <c r="AI177" s="31"/>
      <c r="AJ177" s="31" t="s">
        <v>262</v>
      </c>
      <c r="AK177" s="31" t="s">
        <v>259</v>
      </c>
      <c r="AL177" s="5"/>
      <c r="AM177" s="5"/>
      <c r="AN177" s="5"/>
      <c r="AO177" s="5"/>
      <c r="AP177" s="5"/>
      <c r="AQ177" s="5"/>
      <c r="AR177" s="5"/>
      <c r="AS177" s="30">
        <v>40</v>
      </c>
      <c r="AT177" s="37"/>
      <c r="AU177" s="37"/>
      <c r="AV177" s="37"/>
      <c r="AW177" s="37"/>
      <c r="AX177" s="37"/>
      <c r="AY177" s="38"/>
      <c r="AZ177" s="38"/>
      <c r="BA177" s="38"/>
      <c r="BB177" s="46"/>
      <c r="BC177" s="37">
        <v>30</v>
      </c>
      <c r="BD177" s="37"/>
      <c r="BE177" s="5"/>
      <c r="BF177" s="5"/>
      <c r="BG177" s="47" t="s">
        <v>1597</v>
      </c>
      <c r="BH177" s="47" t="s">
        <v>1598</v>
      </c>
      <c r="BI177" s="47" t="s">
        <v>1599</v>
      </c>
      <c r="BJ177" s="60"/>
      <c r="BK177" s="49">
        <v>3</v>
      </c>
    </row>
    <row x14ac:dyDescent="0.25" r="178" customHeight="1" ht="31.5">
      <c r="A178" s="30" t="s">
        <v>1600</v>
      </c>
      <c r="B178" s="5" t="s">
        <v>1601</v>
      </c>
      <c r="C178" s="31" t="s">
        <v>1602</v>
      </c>
      <c r="D178" s="31" t="s">
        <v>1603</v>
      </c>
      <c r="E178" s="5"/>
      <c r="F178" s="5" t="s">
        <v>637</v>
      </c>
      <c r="G178" s="5" t="s">
        <v>1329</v>
      </c>
      <c r="H178" s="31" t="s">
        <v>1604</v>
      </c>
      <c r="I178" s="32"/>
      <c r="J178" s="32"/>
      <c r="K178" s="5" t="s">
        <v>1605</v>
      </c>
      <c r="L178" s="5"/>
      <c r="M178" s="5" t="s">
        <v>231</v>
      </c>
      <c r="N178" s="5" t="s">
        <v>579</v>
      </c>
      <c r="O178" s="33"/>
      <c r="P178" s="5"/>
      <c r="Q178" s="1" t="s">
        <v>251</v>
      </c>
      <c r="R178" s="31" t="s">
        <v>286</v>
      </c>
      <c r="S178" s="31"/>
      <c r="T178" s="31"/>
      <c r="U178" s="31" t="s">
        <v>1606</v>
      </c>
      <c r="V178" s="5"/>
      <c r="W178" s="40">
        <v>1</v>
      </c>
      <c r="X178" s="178" t="s">
        <v>1407</v>
      </c>
      <c r="Y178" s="42"/>
      <c r="Z178" s="35">
        <v>0</v>
      </c>
      <c r="AA178" s="31" t="s">
        <v>1607</v>
      </c>
      <c r="AB178" s="31" t="s">
        <v>1608</v>
      </c>
      <c r="AC178" s="5" t="s">
        <v>24</v>
      </c>
      <c r="AD178" s="5" t="s">
        <v>259</v>
      </c>
      <c r="AE178" s="36" t="s">
        <v>1410</v>
      </c>
      <c r="AF178" s="31" t="s">
        <v>664</v>
      </c>
      <c r="AG178" s="31" t="s">
        <v>56</v>
      </c>
      <c r="AH178" s="31"/>
      <c r="AI178" s="31"/>
      <c r="AJ178" s="31" t="s">
        <v>262</v>
      </c>
      <c r="AK178" s="31" t="s">
        <v>259</v>
      </c>
      <c r="AL178" s="31"/>
      <c r="AM178" s="31"/>
      <c r="AN178" s="31"/>
      <c r="AO178" s="31"/>
      <c r="AP178" s="31"/>
      <c r="AQ178" s="31"/>
      <c r="AR178" s="31"/>
      <c r="AS178" s="30">
        <v>41</v>
      </c>
      <c r="AT178" s="37"/>
      <c r="AU178" s="37"/>
      <c r="AV178" s="37"/>
      <c r="AW178" s="37"/>
      <c r="AX178" s="37"/>
      <c r="AY178" s="38"/>
      <c r="AZ178" s="38"/>
      <c r="BA178" s="38"/>
      <c r="BB178" s="46"/>
      <c r="BC178" s="37">
        <v>31</v>
      </c>
      <c r="BD178" s="37"/>
      <c r="BE178" s="5"/>
      <c r="BF178" s="5"/>
      <c r="BG178" s="47" t="s">
        <v>1609</v>
      </c>
      <c r="BH178" s="47" t="s">
        <v>1610</v>
      </c>
      <c r="BI178" s="47" t="s">
        <v>1611</v>
      </c>
      <c r="BJ178" s="60"/>
      <c r="BK178" s="49">
        <v>3</v>
      </c>
    </row>
    <row x14ac:dyDescent="0.25" r="179" customHeight="1" ht="42">
      <c r="A179" s="30" t="s">
        <v>1612</v>
      </c>
      <c r="B179" s="5" t="s">
        <v>1613</v>
      </c>
      <c r="C179" s="31" t="s">
        <v>1614</v>
      </c>
      <c r="D179" s="31" t="s">
        <v>1615</v>
      </c>
      <c r="E179" s="5"/>
      <c r="F179" s="5" t="s">
        <v>637</v>
      </c>
      <c r="G179" s="5" t="s">
        <v>1329</v>
      </c>
      <c r="H179" s="31" t="s">
        <v>1616</v>
      </c>
      <c r="I179" s="32"/>
      <c r="J179" s="32"/>
      <c r="K179" s="5" t="s">
        <v>1617</v>
      </c>
      <c r="L179" s="5"/>
      <c r="M179" s="5" t="s">
        <v>231</v>
      </c>
      <c r="N179" s="5" t="s">
        <v>579</v>
      </c>
      <c r="O179" s="33"/>
      <c r="P179" s="5"/>
      <c r="Q179" s="1" t="s">
        <v>251</v>
      </c>
      <c r="R179" s="31" t="s">
        <v>286</v>
      </c>
      <c r="S179" s="31"/>
      <c r="T179" s="31"/>
      <c r="U179" s="31" t="s">
        <v>1618</v>
      </c>
      <c r="V179" s="5"/>
      <c r="W179" s="40">
        <v>1</v>
      </c>
      <c r="X179" s="178" t="s">
        <v>1407</v>
      </c>
      <c r="Y179" s="42"/>
      <c r="Z179" s="35">
        <v>0</v>
      </c>
      <c r="AA179" s="31" t="s">
        <v>1615</v>
      </c>
      <c r="AB179" s="31" t="s">
        <v>1619</v>
      </c>
      <c r="AC179" s="5" t="s">
        <v>24</v>
      </c>
      <c r="AD179" s="5" t="s">
        <v>259</v>
      </c>
      <c r="AE179" s="36" t="s">
        <v>1410</v>
      </c>
      <c r="AF179" s="31" t="s">
        <v>649</v>
      </c>
      <c r="AG179" s="31" t="s">
        <v>68</v>
      </c>
      <c r="AH179" s="31"/>
      <c r="AI179" s="31"/>
      <c r="AJ179" s="31" t="s">
        <v>262</v>
      </c>
      <c r="AK179" s="31" t="s">
        <v>259</v>
      </c>
      <c r="AL179" s="31"/>
      <c r="AM179" s="31"/>
      <c r="AN179" s="31"/>
      <c r="AO179" s="31"/>
      <c r="AP179" s="31"/>
      <c r="AQ179" s="31"/>
      <c r="AR179" s="31"/>
      <c r="AS179" s="30">
        <v>42</v>
      </c>
      <c r="AT179" s="37"/>
      <c r="AU179" s="37"/>
      <c r="AV179" s="37"/>
      <c r="AW179" s="37"/>
      <c r="AX179" s="37"/>
      <c r="AY179" s="38"/>
      <c r="AZ179" s="38"/>
      <c r="BA179" s="38"/>
      <c r="BB179" s="46"/>
      <c r="BC179" s="37">
        <v>33</v>
      </c>
      <c r="BD179" s="37"/>
      <c r="BE179" s="5"/>
      <c r="BF179" s="5"/>
      <c r="BG179" s="47" t="s">
        <v>1620</v>
      </c>
      <c r="BH179" s="47" t="s">
        <v>1621</v>
      </c>
      <c r="BI179" s="47" t="s">
        <v>1621</v>
      </c>
      <c r="BJ179" s="60"/>
      <c r="BK179" s="49">
        <v>3</v>
      </c>
    </row>
    <row x14ac:dyDescent="0.25" r="180" customHeight="1" ht="45">
      <c r="A180" s="30" t="s">
        <v>1622</v>
      </c>
      <c r="B180" s="5" t="s">
        <v>1623</v>
      </c>
      <c r="C180" s="31" t="s">
        <v>1624</v>
      </c>
      <c r="D180" s="31" t="s">
        <v>1625</v>
      </c>
      <c r="E180" s="5"/>
      <c r="F180" s="5" t="s">
        <v>637</v>
      </c>
      <c r="G180" s="5" t="s">
        <v>1329</v>
      </c>
      <c r="H180" s="31" t="s">
        <v>1626</v>
      </c>
      <c r="I180" s="32"/>
      <c r="J180" s="32"/>
      <c r="K180" s="5" t="s">
        <v>1627</v>
      </c>
      <c r="L180" s="5"/>
      <c r="M180" s="5" t="s">
        <v>231</v>
      </c>
      <c r="N180" s="5" t="s">
        <v>579</v>
      </c>
      <c r="O180" s="33"/>
      <c r="P180" s="5"/>
      <c r="Q180" s="1" t="s">
        <v>251</v>
      </c>
      <c r="R180" s="31" t="s">
        <v>286</v>
      </c>
      <c r="S180" s="31"/>
      <c r="T180" s="31"/>
      <c r="U180" s="31" t="s">
        <v>1628</v>
      </c>
      <c r="V180" s="5"/>
      <c r="W180" s="40">
        <v>1</v>
      </c>
      <c r="X180" s="178" t="s">
        <v>1407</v>
      </c>
      <c r="Y180" s="42"/>
      <c r="Z180" s="35">
        <v>0</v>
      </c>
      <c r="AA180" s="31" t="s">
        <v>1629</v>
      </c>
      <c r="AB180" s="31" t="s">
        <v>1630</v>
      </c>
      <c r="AC180" s="5" t="s">
        <v>24</v>
      </c>
      <c r="AD180" s="5" t="s">
        <v>259</v>
      </c>
      <c r="AE180" s="36" t="s">
        <v>1410</v>
      </c>
      <c r="AF180" s="31" t="s">
        <v>656</v>
      </c>
      <c r="AG180" s="31" t="s">
        <v>68</v>
      </c>
      <c r="AH180" s="31"/>
      <c r="AI180" s="31"/>
      <c r="AJ180" s="31" t="s">
        <v>262</v>
      </c>
      <c r="AK180" s="31" t="s">
        <v>259</v>
      </c>
      <c r="AL180" s="31"/>
      <c r="AM180" s="31"/>
      <c r="AN180" s="31"/>
      <c r="AO180" s="31"/>
      <c r="AP180" s="31"/>
      <c r="AQ180" s="31"/>
      <c r="AR180" s="31"/>
      <c r="AS180" s="30">
        <v>43</v>
      </c>
      <c r="AT180" s="37"/>
      <c r="AU180" s="37"/>
      <c r="AV180" s="37"/>
      <c r="AW180" s="37"/>
      <c r="AX180" s="37"/>
      <c r="AY180" s="38"/>
      <c r="AZ180" s="38"/>
      <c r="BA180" s="38"/>
      <c r="BB180" s="46"/>
      <c r="BC180" s="37">
        <v>34</v>
      </c>
      <c r="BD180" s="37"/>
      <c r="BE180" s="5"/>
      <c r="BF180" s="5"/>
      <c r="BG180" s="47" t="s">
        <v>1631</v>
      </c>
      <c r="BH180" s="47" t="s">
        <v>1632</v>
      </c>
      <c r="BI180" s="47" t="s">
        <v>1632</v>
      </c>
      <c r="BJ180" s="60"/>
      <c r="BK180" s="49">
        <v>3</v>
      </c>
    </row>
    <row x14ac:dyDescent="0.25" r="181" customHeight="1" ht="31.5">
      <c r="A181" s="30" t="s">
        <v>1633</v>
      </c>
      <c r="B181" s="5" t="s">
        <v>1634</v>
      </c>
      <c r="C181" s="31" t="s">
        <v>1635</v>
      </c>
      <c r="D181" s="31" t="s">
        <v>1636</v>
      </c>
      <c r="E181" s="5"/>
      <c r="F181" s="5" t="s">
        <v>637</v>
      </c>
      <c r="G181" s="5" t="s">
        <v>1329</v>
      </c>
      <c r="H181" s="31" t="s">
        <v>1637</v>
      </c>
      <c r="I181" s="32"/>
      <c r="J181" s="32"/>
      <c r="K181" s="5" t="s">
        <v>1638</v>
      </c>
      <c r="L181" s="5"/>
      <c r="M181" s="5" t="s">
        <v>231</v>
      </c>
      <c r="N181" s="5" t="s">
        <v>579</v>
      </c>
      <c r="O181" s="33"/>
      <c r="P181" s="5"/>
      <c r="Q181" s="1" t="s">
        <v>251</v>
      </c>
      <c r="R181" s="31" t="s">
        <v>286</v>
      </c>
      <c r="S181" s="31"/>
      <c r="T181" s="31"/>
      <c r="U181" s="31" t="s">
        <v>1639</v>
      </c>
      <c r="V181" s="5"/>
      <c r="W181" s="40">
        <v>1</v>
      </c>
      <c r="X181" s="178" t="s">
        <v>1407</v>
      </c>
      <c r="Y181" s="42"/>
      <c r="Z181" s="35">
        <v>0</v>
      </c>
      <c r="AA181" s="31" t="s">
        <v>1636</v>
      </c>
      <c r="AB181" s="31" t="s">
        <v>1640</v>
      </c>
      <c r="AC181" s="5" t="s">
        <v>24</v>
      </c>
      <c r="AD181" s="5" t="s">
        <v>259</v>
      </c>
      <c r="AE181" s="36" t="s">
        <v>1410</v>
      </c>
      <c r="AF181" s="31" t="s">
        <v>672</v>
      </c>
      <c r="AG181" s="31" t="s">
        <v>68</v>
      </c>
      <c r="AH181" s="31"/>
      <c r="AI181" s="31"/>
      <c r="AJ181" s="31" t="s">
        <v>262</v>
      </c>
      <c r="AK181" s="31" t="s">
        <v>259</v>
      </c>
      <c r="AL181" s="31"/>
      <c r="AM181" s="31"/>
      <c r="AN181" s="31"/>
      <c r="AO181" s="31"/>
      <c r="AP181" s="31"/>
      <c r="AQ181" s="31"/>
      <c r="AR181" s="31"/>
      <c r="AS181" s="30">
        <v>44</v>
      </c>
      <c r="AT181" s="37"/>
      <c r="AU181" s="37"/>
      <c r="AV181" s="37"/>
      <c r="AW181" s="37"/>
      <c r="AX181" s="37"/>
      <c r="AY181" s="38"/>
      <c r="AZ181" s="38"/>
      <c r="BA181" s="38"/>
      <c r="BB181" s="46"/>
      <c r="BC181" s="37">
        <v>35</v>
      </c>
      <c r="BD181" s="37"/>
      <c r="BE181" s="5"/>
      <c r="BF181" s="5"/>
      <c r="BG181" s="31" t="s">
        <v>1641</v>
      </c>
      <c r="BH181" s="31" t="s">
        <v>1642</v>
      </c>
      <c r="BI181" s="47" t="s">
        <v>1642</v>
      </c>
      <c r="BJ181" s="60"/>
      <c r="BK181" s="49">
        <v>3</v>
      </c>
    </row>
    <row x14ac:dyDescent="0.25" r="182" customHeight="1" ht="42.75">
      <c r="A182" s="30" t="s">
        <v>1643</v>
      </c>
      <c r="B182" s="5" t="s">
        <v>1644</v>
      </c>
      <c r="C182" s="31" t="s">
        <v>1645</v>
      </c>
      <c r="D182" s="31" t="s">
        <v>1646</v>
      </c>
      <c r="E182" s="5"/>
      <c r="F182" s="5" t="s">
        <v>637</v>
      </c>
      <c r="G182" s="5" t="s">
        <v>1329</v>
      </c>
      <c r="H182" s="31" t="s">
        <v>1647</v>
      </c>
      <c r="I182" s="32"/>
      <c r="J182" s="32"/>
      <c r="K182" s="5" t="s">
        <v>1648</v>
      </c>
      <c r="L182" s="5"/>
      <c r="M182" s="5" t="s">
        <v>231</v>
      </c>
      <c r="N182" s="5" t="s">
        <v>579</v>
      </c>
      <c r="O182" s="33"/>
      <c r="P182" s="5"/>
      <c r="Q182" s="1" t="s">
        <v>251</v>
      </c>
      <c r="R182" s="31" t="s">
        <v>286</v>
      </c>
      <c r="S182" s="31"/>
      <c r="T182" s="31"/>
      <c r="U182" s="31" t="s">
        <v>1649</v>
      </c>
      <c r="V182" s="5"/>
      <c r="W182" s="40">
        <v>1</v>
      </c>
      <c r="X182" s="178" t="s">
        <v>1407</v>
      </c>
      <c r="Y182" s="42"/>
      <c r="Z182" s="35">
        <v>0</v>
      </c>
      <c r="AA182" s="31" t="s">
        <v>1646</v>
      </c>
      <c r="AB182" s="31" t="s">
        <v>1650</v>
      </c>
      <c r="AC182" s="5" t="s">
        <v>24</v>
      </c>
      <c r="AD182" s="5" t="s">
        <v>259</v>
      </c>
      <c r="AE182" s="36" t="s">
        <v>1410</v>
      </c>
      <c r="AF182" s="31" t="s">
        <v>664</v>
      </c>
      <c r="AG182" s="31" t="s">
        <v>68</v>
      </c>
      <c r="AH182" s="31"/>
      <c r="AI182" s="31"/>
      <c r="AJ182" s="31" t="s">
        <v>262</v>
      </c>
      <c r="AK182" s="31" t="s">
        <v>259</v>
      </c>
      <c r="AL182" s="31"/>
      <c r="AM182" s="31"/>
      <c r="AN182" s="31"/>
      <c r="AO182" s="31"/>
      <c r="AP182" s="31"/>
      <c r="AQ182" s="31"/>
      <c r="AR182" s="31"/>
      <c r="AS182" s="30">
        <v>45</v>
      </c>
      <c r="AT182" s="37"/>
      <c r="AU182" s="37"/>
      <c r="AV182" s="37"/>
      <c r="AW182" s="37"/>
      <c r="AX182" s="37"/>
      <c r="AY182" s="38"/>
      <c r="AZ182" s="38"/>
      <c r="BA182" s="38"/>
      <c r="BB182" s="46"/>
      <c r="BC182" s="37">
        <v>36</v>
      </c>
      <c r="BD182" s="37"/>
      <c r="BE182" s="5"/>
      <c r="BF182" s="5"/>
      <c r="BG182" s="47" t="s">
        <v>1651</v>
      </c>
      <c r="BH182" s="47" t="s">
        <v>1652</v>
      </c>
      <c r="BI182" s="47" t="s">
        <v>1652</v>
      </c>
      <c r="BJ182" s="60"/>
      <c r="BK182" s="49">
        <v>3</v>
      </c>
    </row>
    <row x14ac:dyDescent="0.25" r="183" customHeight="1" ht="31.5">
      <c r="A183" s="30">
        <v>10047</v>
      </c>
      <c r="B183" s="5" t="s">
        <v>1653</v>
      </c>
      <c r="C183" s="31" t="s">
        <v>1654</v>
      </c>
      <c r="D183" s="31" t="s">
        <v>1655</v>
      </c>
      <c r="E183" s="5" t="s">
        <v>529</v>
      </c>
      <c r="F183" s="5" t="s">
        <v>1656</v>
      </c>
      <c r="G183" s="5" t="s">
        <v>1329</v>
      </c>
      <c r="H183" s="31" t="s">
        <v>1657</v>
      </c>
      <c r="I183" s="32"/>
      <c r="J183" s="32"/>
      <c r="K183" s="5"/>
      <c r="L183" s="5"/>
      <c r="M183" s="5" t="s">
        <v>231</v>
      </c>
      <c r="N183" s="5" t="s">
        <v>579</v>
      </c>
      <c r="O183" s="33"/>
      <c r="P183" s="5"/>
      <c r="Q183" s="1" t="s">
        <v>251</v>
      </c>
      <c r="R183" s="31" t="s">
        <v>286</v>
      </c>
      <c r="S183" s="31"/>
      <c r="T183" s="31"/>
      <c r="U183" s="31" t="s">
        <v>1658</v>
      </c>
      <c r="V183" s="5"/>
      <c r="W183" s="40">
        <v>1</v>
      </c>
      <c r="X183" s="31" t="s">
        <v>581</v>
      </c>
      <c r="Y183" s="42"/>
      <c r="Z183" s="35">
        <v>1</v>
      </c>
      <c r="AA183" s="31" t="s">
        <v>1654</v>
      </c>
      <c r="AB183" s="31" t="s">
        <v>1659</v>
      </c>
      <c r="AC183" s="5" t="s">
        <v>76</v>
      </c>
      <c r="AD183" s="5" t="s">
        <v>259</v>
      </c>
      <c r="AE183" s="36" t="s">
        <v>1660</v>
      </c>
      <c r="AF183" s="31" t="s">
        <v>1661</v>
      </c>
      <c r="AG183" s="31"/>
      <c r="AH183" s="31"/>
      <c r="AI183" s="31" t="s">
        <v>1335</v>
      </c>
      <c r="AJ183" s="31" t="s">
        <v>262</v>
      </c>
      <c r="AK183" s="31" t="s">
        <v>259</v>
      </c>
      <c r="AL183" s="31"/>
      <c r="AM183" s="31"/>
      <c r="AN183" s="31" t="s">
        <v>1662</v>
      </c>
      <c r="AO183" s="31" t="s">
        <v>259</v>
      </c>
      <c r="AP183" s="31" t="s">
        <v>1659</v>
      </c>
      <c r="AQ183" s="31"/>
      <c r="AR183" s="31" t="s">
        <v>243</v>
      </c>
      <c r="AS183" s="30">
        <v>46</v>
      </c>
      <c r="AT183" s="37"/>
      <c r="AU183" s="37"/>
      <c r="AV183" s="37"/>
      <c r="AW183" s="37"/>
      <c r="AX183" s="37"/>
      <c r="AY183" s="38"/>
      <c r="AZ183" s="38"/>
      <c r="BA183" s="38"/>
      <c r="BB183" s="46" t="s">
        <v>529</v>
      </c>
      <c r="BC183" s="37">
        <v>37</v>
      </c>
      <c r="BD183" s="37"/>
      <c r="BE183" s="5"/>
      <c r="BF183" s="5"/>
      <c r="BG183" s="31" t="s">
        <v>1658</v>
      </c>
      <c r="BH183" s="31" t="s">
        <v>1658</v>
      </c>
      <c r="BI183" s="31" t="s">
        <v>1658</v>
      </c>
      <c r="BJ183" s="48"/>
      <c r="BK183" s="49">
        <v>3</v>
      </c>
    </row>
    <row x14ac:dyDescent="0.25" r="184" customHeight="1" ht="31.5">
      <c r="A184" s="30" t="s">
        <v>1663</v>
      </c>
      <c r="B184" s="5" t="s">
        <v>1664</v>
      </c>
      <c r="C184" s="31" t="s">
        <v>1665</v>
      </c>
      <c r="D184" s="31" t="s">
        <v>1666</v>
      </c>
      <c r="E184" s="5" t="s">
        <v>529</v>
      </c>
      <c r="F184" s="5" t="s">
        <v>602</v>
      </c>
      <c r="G184" s="5" t="s">
        <v>1329</v>
      </c>
      <c r="H184" s="31" t="s">
        <v>1667</v>
      </c>
      <c r="I184" s="32"/>
      <c r="J184" s="32"/>
      <c r="K184" s="5" t="s">
        <v>1668</v>
      </c>
      <c r="L184" s="5"/>
      <c r="M184" s="5" t="s">
        <v>231</v>
      </c>
      <c r="N184" s="5" t="s">
        <v>250</v>
      </c>
      <c r="O184" s="33"/>
      <c r="P184" s="5"/>
      <c r="Q184" s="1" t="s">
        <v>251</v>
      </c>
      <c r="R184" s="31"/>
      <c r="S184" s="31"/>
      <c r="T184" s="31" t="s">
        <v>1669</v>
      </c>
      <c r="U184" s="31" t="s">
        <v>1670</v>
      </c>
      <c r="V184" s="5"/>
      <c r="W184" s="34">
        <v>1</v>
      </c>
      <c r="X184" s="31" t="s">
        <v>581</v>
      </c>
      <c r="Y184" s="5"/>
      <c r="Z184" s="35">
        <v>0</v>
      </c>
      <c r="AA184" s="31" t="s">
        <v>1666</v>
      </c>
      <c r="AB184" s="31" t="s">
        <v>1671</v>
      </c>
      <c r="AC184" s="5" t="s">
        <v>88</v>
      </c>
      <c r="AD184" s="5" t="s">
        <v>259</v>
      </c>
      <c r="AE184" s="36" t="s">
        <v>1660</v>
      </c>
      <c r="AF184" s="31" t="s">
        <v>1671</v>
      </c>
      <c r="AG184" s="31"/>
      <c r="AH184" s="31"/>
      <c r="AI184" s="31" t="s">
        <v>1335</v>
      </c>
      <c r="AJ184" s="31" t="s">
        <v>262</v>
      </c>
      <c r="AK184" s="31" t="s">
        <v>259</v>
      </c>
      <c r="AL184" s="31"/>
      <c r="AM184" s="31"/>
      <c r="AN184" s="31"/>
      <c r="AO184" s="31"/>
      <c r="AP184" s="31"/>
      <c r="AQ184" s="31"/>
      <c r="AR184" s="31" t="s">
        <v>263</v>
      </c>
      <c r="AS184" s="30">
        <v>52</v>
      </c>
      <c r="AT184" s="37"/>
      <c r="AU184" s="37"/>
      <c r="AV184" s="37"/>
      <c r="AW184" s="37"/>
      <c r="AX184" s="37"/>
      <c r="AY184" s="38"/>
      <c r="AZ184" s="38"/>
      <c r="BA184" s="38"/>
      <c r="BB184" s="46" t="s">
        <v>529</v>
      </c>
      <c r="BC184" s="37">
        <v>38</v>
      </c>
      <c r="BD184" s="37"/>
      <c r="BE184" s="5"/>
      <c r="BF184" s="5"/>
      <c r="BG184" s="31" t="s">
        <v>1665</v>
      </c>
      <c r="BH184" s="31" t="s">
        <v>1672</v>
      </c>
      <c r="BI184" s="47" t="s">
        <v>1673</v>
      </c>
      <c r="BJ184" s="60"/>
      <c r="BK184" s="49">
        <v>3</v>
      </c>
    </row>
    <row x14ac:dyDescent="0.25" r="185" customHeight="1" ht="31.5">
      <c r="A185" s="30">
        <v>10048</v>
      </c>
      <c r="B185" s="5" t="s">
        <v>1674</v>
      </c>
      <c r="C185" s="31" t="s">
        <v>1675</v>
      </c>
      <c r="D185" s="31" t="s">
        <v>1676</v>
      </c>
      <c r="E185" s="5"/>
      <c r="F185" s="5" t="s">
        <v>1677</v>
      </c>
      <c r="G185" s="5" t="s">
        <v>1329</v>
      </c>
      <c r="H185" s="31" t="s">
        <v>1014</v>
      </c>
      <c r="I185" s="32"/>
      <c r="J185" s="32"/>
      <c r="K185" s="5"/>
      <c r="L185" s="5"/>
      <c r="M185" s="5" t="s">
        <v>231</v>
      </c>
      <c r="N185" s="5" t="s">
        <v>579</v>
      </c>
      <c r="O185" s="33"/>
      <c r="P185" s="5"/>
      <c r="Q185" s="1" t="s">
        <v>251</v>
      </c>
      <c r="R185" s="31" t="s">
        <v>286</v>
      </c>
      <c r="S185" s="31"/>
      <c r="T185" s="31"/>
      <c r="U185" s="5"/>
      <c r="V185" s="5"/>
      <c r="W185" s="40">
        <v>2</v>
      </c>
      <c r="X185" s="31" t="s">
        <v>581</v>
      </c>
      <c r="Y185" s="42"/>
      <c r="Z185" s="35">
        <v>1</v>
      </c>
      <c r="AA185" s="31" t="s">
        <v>1678</v>
      </c>
      <c r="AB185" s="31" t="s">
        <v>1679</v>
      </c>
      <c r="AC185" s="5" t="s">
        <v>76</v>
      </c>
      <c r="AD185" s="5" t="s">
        <v>259</v>
      </c>
      <c r="AE185" s="36" t="s">
        <v>1660</v>
      </c>
      <c r="AF185" s="31" t="s">
        <v>1680</v>
      </c>
      <c r="AG185" s="31"/>
      <c r="AH185" s="31"/>
      <c r="AI185" s="31" t="s">
        <v>1335</v>
      </c>
      <c r="AJ185" s="31" t="s">
        <v>262</v>
      </c>
      <c r="AK185" s="31" t="s">
        <v>259</v>
      </c>
      <c r="AL185" s="31"/>
      <c r="AM185" s="31"/>
      <c r="AN185" s="31" t="s">
        <v>1681</v>
      </c>
      <c r="AO185" s="31" t="s">
        <v>259</v>
      </c>
      <c r="AP185" s="31" t="s">
        <v>1682</v>
      </c>
      <c r="AQ185" s="31"/>
      <c r="AR185" s="31" t="s">
        <v>263</v>
      </c>
      <c r="AS185" s="30">
        <v>47</v>
      </c>
      <c r="AT185" s="37"/>
      <c r="AU185" s="37"/>
      <c r="AV185" s="37"/>
      <c r="AW185" s="37"/>
      <c r="AX185" s="37"/>
      <c r="AY185" s="38"/>
      <c r="AZ185" s="38"/>
      <c r="BA185" s="38"/>
      <c r="BB185" s="46"/>
      <c r="BC185" s="37">
        <v>39</v>
      </c>
      <c r="BD185" s="37"/>
      <c r="BE185" s="5"/>
      <c r="BF185" s="5"/>
      <c r="BG185" s="31" t="s">
        <v>1670</v>
      </c>
      <c r="BH185" s="31" t="s">
        <v>1670</v>
      </c>
      <c r="BI185" s="31" t="s">
        <v>1670</v>
      </c>
      <c r="BJ185" s="48"/>
      <c r="BK185" s="49">
        <v>3</v>
      </c>
    </row>
    <row x14ac:dyDescent="0.25" r="186" customHeight="1" ht="31.5">
      <c r="A186" s="30" t="s">
        <v>1683</v>
      </c>
      <c r="B186" s="5" t="s">
        <v>1684</v>
      </c>
      <c r="C186" s="31" t="s">
        <v>1685</v>
      </c>
      <c r="D186" s="31" t="s">
        <v>1676</v>
      </c>
      <c r="E186" s="5"/>
      <c r="F186" s="5" t="s">
        <v>1677</v>
      </c>
      <c r="G186" s="5" t="s">
        <v>1329</v>
      </c>
      <c r="H186" s="31" t="s">
        <v>1686</v>
      </c>
      <c r="I186" s="32"/>
      <c r="J186" s="32"/>
      <c r="K186" s="5"/>
      <c r="L186" s="5"/>
      <c r="M186" s="5" t="s">
        <v>231</v>
      </c>
      <c r="N186" s="5" t="s">
        <v>579</v>
      </c>
      <c r="O186" s="33"/>
      <c r="P186" s="5"/>
      <c r="Q186" s="1" t="s">
        <v>251</v>
      </c>
      <c r="R186" s="31" t="s">
        <v>286</v>
      </c>
      <c r="S186" s="31"/>
      <c r="T186" s="31"/>
      <c r="U186" s="31" t="s">
        <v>1687</v>
      </c>
      <c r="V186" s="5"/>
      <c r="W186" s="34">
        <v>2</v>
      </c>
      <c r="X186" s="31" t="s">
        <v>581</v>
      </c>
      <c r="Y186" s="5"/>
      <c r="Z186" s="35">
        <v>1</v>
      </c>
      <c r="AA186" s="31" t="s">
        <v>1678</v>
      </c>
      <c r="AB186" s="31" t="s">
        <v>1688</v>
      </c>
      <c r="AC186" s="5" t="s">
        <v>76</v>
      </c>
      <c r="AD186" s="5" t="s">
        <v>259</v>
      </c>
      <c r="AE186" s="36" t="s">
        <v>1660</v>
      </c>
      <c r="AF186" s="31" t="s">
        <v>1689</v>
      </c>
      <c r="AG186" s="31"/>
      <c r="AH186" s="31"/>
      <c r="AI186" s="31" t="s">
        <v>1335</v>
      </c>
      <c r="AJ186" s="31" t="s">
        <v>262</v>
      </c>
      <c r="AK186" s="31" t="s">
        <v>259</v>
      </c>
      <c r="AL186" s="31"/>
      <c r="AM186" s="31"/>
      <c r="AN186" s="31" t="s">
        <v>1681</v>
      </c>
      <c r="AO186" s="31" t="s">
        <v>259</v>
      </c>
      <c r="AP186" s="31" t="s">
        <v>1682</v>
      </c>
      <c r="AQ186" s="31"/>
      <c r="AR186" s="31" t="s">
        <v>263</v>
      </c>
      <c r="AS186" s="30">
        <v>48</v>
      </c>
      <c r="AT186" s="37"/>
      <c r="AU186" s="37"/>
      <c r="AV186" s="37"/>
      <c r="AW186" s="37"/>
      <c r="AX186" s="37"/>
      <c r="AY186" s="38"/>
      <c r="AZ186" s="38"/>
      <c r="BA186" s="38"/>
      <c r="BB186" s="46"/>
      <c r="BC186" s="37">
        <v>40</v>
      </c>
      <c r="BD186" s="37"/>
      <c r="BE186" s="5"/>
      <c r="BF186" s="5"/>
      <c r="BG186" s="31" t="s">
        <v>1687</v>
      </c>
      <c r="BH186" s="31" t="s">
        <v>1687</v>
      </c>
      <c r="BI186" s="31" t="s">
        <v>1687</v>
      </c>
      <c r="BJ186" s="48"/>
      <c r="BK186" s="49">
        <v>3</v>
      </c>
    </row>
    <row x14ac:dyDescent="0.25" r="187" customHeight="1" ht="31.5">
      <c r="A187" s="30" t="s">
        <v>1690</v>
      </c>
      <c r="B187" s="5" t="s">
        <v>1691</v>
      </c>
      <c r="C187" s="31" t="s">
        <v>1692</v>
      </c>
      <c r="D187" s="31" t="s">
        <v>1693</v>
      </c>
      <c r="E187" s="5"/>
      <c r="F187" s="5" t="s">
        <v>602</v>
      </c>
      <c r="G187" s="5" t="s">
        <v>1329</v>
      </c>
      <c r="H187" s="31" t="s">
        <v>1694</v>
      </c>
      <c r="I187" s="32"/>
      <c r="J187" s="32"/>
      <c r="K187" s="5"/>
      <c r="L187" s="5"/>
      <c r="M187" s="5" t="s">
        <v>231</v>
      </c>
      <c r="N187" s="5" t="s">
        <v>580</v>
      </c>
      <c r="O187" s="33"/>
      <c r="P187" s="5"/>
      <c r="Q187" s="1" t="s">
        <v>251</v>
      </c>
      <c r="R187" s="31" t="s">
        <v>286</v>
      </c>
      <c r="S187" s="31"/>
      <c r="T187" s="31"/>
      <c r="U187" s="31" t="s">
        <v>1695</v>
      </c>
      <c r="V187" s="5"/>
      <c r="W187" s="40">
        <v>0</v>
      </c>
      <c r="X187" s="31" t="s">
        <v>386</v>
      </c>
      <c r="Y187" s="42"/>
      <c r="Z187" s="20" t="s">
        <v>386</v>
      </c>
      <c r="AA187" s="31" t="s">
        <v>1693</v>
      </c>
      <c r="AB187" s="31" t="s">
        <v>1696</v>
      </c>
      <c r="AC187" s="5" t="s">
        <v>88</v>
      </c>
      <c r="AD187" s="5" t="s">
        <v>259</v>
      </c>
      <c r="AE187" s="36" t="s">
        <v>1660</v>
      </c>
      <c r="AF187" s="31" t="s">
        <v>1696</v>
      </c>
      <c r="AG187" s="31"/>
      <c r="AH187" s="31"/>
      <c r="AI187" s="31" t="s">
        <v>1335</v>
      </c>
      <c r="AJ187" s="31" t="s">
        <v>262</v>
      </c>
      <c r="AK187" s="31" t="s">
        <v>259</v>
      </c>
      <c r="AL187" s="31"/>
      <c r="AM187" s="31"/>
      <c r="AN187" s="31"/>
      <c r="AO187" s="31"/>
      <c r="AP187" s="31"/>
      <c r="AQ187" s="31"/>
      <c r="AR187" s="31" t="s">
        <v>243</v>
      </c>
      <c r="AS187" s="30">
        <v>50</v>
      </c>
      <c r="AT187" s="37"/>
      <c r="AU187" s="37"/>
      <c r="AV187" s="37"/>
      <c r="AW187" s="37"/>
      <c r="AX187" s="37"/>
      <c r="AY187" s="38"/>
      <c r="AZ187" s="38"/>
      <c r="BA187" s="38"/>
      <c r="BB187" s="46"/>
      <c r="BC187" s="37">
        <v>41</v>
      </c>
      <c r="BD187" s="37"/>
      <c r="BE187" s="5"/>
      <c r="BF187" s="5"/>
      <c r="BG187" s="31" t="s">
        <v>1695</v>
      </c>
      <c r="BH187" s="31" t="s">
        <v>1695</v>
      </c>
      <c r="BI187" s="31" t="s">
        <v>1695</v>
      </c>
      <c r="BJ187" s="48"/>
      <c r="BK187" s="49">
        <v>3</v>
      </c>
    </row>
    <row x14ac:dyDescent="0.25" r="188" customHeight="1" ht="31.5">
      <c r="A188" s="30">
        <v>10072</v>
      </c>
      <c r="B188" s="5" t="s">
        <v>1697</v>
      </c>
      <c r="C188" s="31" t="s">
        <v>1698</v>
      </c>
      <c r="D188" s="31" t="s">
        <v>1699</v>
      </c>
      <c r="E188" s="5" t="s">
        <v>529</v>
      </c>
      <c r="F188" s="5" t="s">
        <v>282</v>
      </c>
      <c r="G188" s="5" t="s">
        <v>1329</v>
      </c>
      <c r="H188" s="31" t="s">
        <v>1700</v>
      </c>
      <c r="I188" s="32"/>
      <c r="J188" s="32"/>
      <c r="K188" s="5"/>
      <c r="L188" s="5"/>
      <c r="M188" s="5" t="s">
        <v>231</v>
      </c>
      <c r="N188" s="5" t="s">
        <v>250</v>
      </c>
      <c r="O188" s="33"/>
      <c r="P188" s="5"/>
      <c r="Q188" s="1" t="s">
        <v>233</v>
      </c>
      <c r="R188" s="31" t="s">
        <v>233</v>
      </c>
      <c r="S188" s="31"/>
      <c r="T188" s="31"/>
      <c r="U188" s="31" t="s">
        <v>1701</v>
      </c>
      <c r="V188" s="5"/>
      <c r="W188" s="40">
        <v>1</v>
      </c>
      <c r="X188" s="31" t="s">
        <v>581</v>
      </c>
      <c r="Y188" s="42" t="s">
        <v>288</v>
      </c>
      <c r="Z188" s="35">
        <v>0</v>
      </c>
      <c r="AA188" s="31" t="s">
        <v>1702</v>
      </c>
      <c r="AB188" s="5" t="s">
        <v>1703</v>
      </c>
      <c r="AC188" s="5" t="s">
        <v>64</v>
      </c>
      <c r="AD188" s="5" t="s">
        <v>238</v>
      </c>
      <c r="AE188" s="36" t="s">
        <v>1704</v>
      </c>
      <c r="AF188" s="5" t="s">
        <v>1703</v>
      </c>
      <c r="AG188" s="5"/>
      <c r="AH188" s="31"/>
      <c r="AI188" s="31" t="s">
        <v>1335</v>
      </c>
      <c r="AJ188" s="5" t="s">
        <v>241</v>
      </c>
      <c r="AK188" s="5" t="s">
        <v>238</v>
      </c>
      <c r="AL188" s="31"/>
      <c r="AM188" s="31"/>
      <c r="AN188" s="31"/>
      <c r="AO188" s="31"/>
      <c r="AP188" s="31"/>
      <c r="AQ188" s="31"/>
      <c r="AR188" s="31" t="s">
        <v>1705</v>
      </c>
      <c r="AS188" s="30">
        <v>61</v>
      </c>
      <c r="AT188" s="37"/>
      <c r="AU188" s="37"/>
      <c r="AV188" s="37"/>
      <c r="AW188" s="37"/>
      <c r="AX188" s="37"/>
      <c r="AY188" s="38"/>
      <c r="AZ188" s="38"/>
      <c r="BA188" s="38"/>
      <c r="BB188" s="46" t="s">
        <v>529</v>
      </c>
      <c r="BC188" s="37">
        <v>42</v>
      </c>
      <c r="BD188" s="37"/>
      <c r="BE188" s="5"/>
      <c r="BF188" s="5"/>
      <c r="BG188" s="31" t="s">
        <v>1706</v>
      </c>
      <c r="BH188" s="31" t="s">
        <v>1706</v>
      </c>
      <c r="BI188" s="31" t="s">
        <v>1706</v>
      </c>
      <c r="BJ188" s="48"/>
      <c r="BK188" s="49">
        <v>3</v>
      </c>
    </row>
    <row x14ac:dyDescent="0.25" r="189" customHeight="1" ht="31.5">
      <c r="A189" s="30" t="s">
        <v>386</v>
      </c>
      <c r="B189" s="1" t="s">
        <v>778</v>
      </c>
      <c r="C189" s="31" t="s">
        <v>1707</v>
      </c>
      <c r="D189" s="31" t="s">
        <v>780</v>
      </c>
      <c r="E189" s="5"/>
      <c r="F189" s="5" t="s">
        <v>577</v>
      </c>
      <c r="G189" s="5" t="s">
        <v>386</v>
      </c>
      <c r="H189" s="31" t="s">
        <v>386</v>
      </c>
      <c r="I189" s="31" t="s">
        <v>386</v>
      </c>
      <c r="J189" s="31" t="s">
        <v>386</v>
      </c>
      <c r="K189" s="62"/>
      <c r="L189" s="62"/>
      <c r="M189" s="5" t="s">
        <v>231</v>
      </c>
      <c r="N189" s="5" t="s">
        <v>386</v>
      </c>
      <c r="O189" s="33" t="s">
        <v>386</v>
      </c>
      <c r="P189" s="5" t="s">
        <v>386</v>
      </c>
      <c r="Q189" s="5" t="s">
        <v>386</v>
      </c>
      <c r="R189" s="31" t="s">
        <v>755</v>
      </c>
      <c r="S189" s="31" t="s">
        <v>386</v>
      </c>
      <c r="T189" s="31"/>
      <c r="U189" s="31"/>
      <c r="V189" s="5"/>
      <c r="W189" s="134"/>
      <c r="X189" s="41"/>
      <c r="Y189" s="42"/>
      <c r="Z189" s="20"/>
      <c r="AA189" s="31"/>
      <c r="AB189" s="31" t="s">
        <v>1708</v>
      </c>
      <c r="AC189" s="5" t="s">
        <v>38</v>
      </c>
      <c r="AD189" s="31" t="s">
        <v>259</v>
      </c>
      <c r="AE189" s="36" t="s">
        <v>1709</v>
      </c>
      <c r="AF189" s="31" t="s">
        <v>1708</v>
      </c>
      <c r="AG189" s="31"/>
      <c r="AH189" s="31"/>
      <c r="AI189" s="31"/>
      <c r="AJ189" s="31"/>
      <c r="AK189" s="31"/>
      <c r="AL189" s="31"/>
      <c r="AM189" s="31"/>
      <c r="AN189" s="31"/>
      <c r="AO189" s="31"/>
      <c r="AP189" s="31"/>
      <c r="AQ189" s="31"/>
      <c r="AR189" s="31" t="s">
        <v>243</v>
      </c>
      <c r="AS189" s="30"/>
      <c r="AT189" s="37"/>
      <c r="AU189" s="37"/>
      <c r="AV189" s="37"/>
      <c r="AW189" s="37"/>
      <c r="AX189" s="37"/>
      <c r="AY189" s="38"/>
      <c r="AZ189" s="38"/>
      <c r="BA189" s="38"/>
      <c r="BB189" s="46"/>
      <c r="BC189" s="37">
        <v>43</v>
      </c>
      <c r="BD189" s="37"/>
      <c r="BE189" s="5"/>
      <c r="BF189" s="5"/>
      <c r="BG189" s="31"/>
      <c r="BH189" s="31" t="s">
        <v>1710</v>
      </c>
      <c r="BI189" s="31" t="s">
        <v>1710</v>
      </c>
      <c r="BJ189" s="48"/>
      <c r="BK189" s="49">
        <v>2</v>
      </c>
    </row>
    <row x14ac:dyDescent="0.25" r="190" customHeight="1" ht="31.5">
      <c r="A190" s="30" t="s">
        <v>1711</v>
      </c>
      <c r="B190" s="5" t="s">
        <v>1712</v>
      </c>
      <c r="C190" s="31" t="s">
        <v>1713</v>
      </c>
      <c r="D190" s="31" t="s">
        <v>1714</v>
      </c>
      <c r="E190" s="5" t="s">
        <v>529</v>
      </c>
      <c r="F190" s="5" t="s">
        <v>577</v>
      </c>
      <c r="G190" s="5" t="s">
        <v>1329</v>
      </c>
      <c r="H190" s="31" t="s">
        <v>1715</v>
      </c>
      <c r="I190" s="32"/>
      <c r="J190" s="32"/>
      <c r="K190" s="5"/>
      <c r="L190" s="5"/>
      <c r="M190" s="5" t="s">
        <v>231</v>
      </c>
      <c r="N190" s="5" t="s">
        <v>579</v>
      </c>
      <c r="O190" s="33"/>
      <c r="P190" s="5"/>
      <c r="Q190" s="1" t="s">
        <v>233</v>
      </c>
      <c r="R190" s="31" t="s">
        <v>233</v>
      </c>
      <c r="S190" s="31"/>
      <c r="T190" s="31" t="s">
        <v>1716</v>
      </c>
      <c r="U190" s="31" t="s">
        <v>1717</v>
      </c>
      <c r="V190" s="5"/>
      <c r="W190" s="40">
        <v>1</v>
      </c>
      <c r="X190" s="31" t="s">
        <v>581</v>
      </c>
      <c r="Y190" s="42" t="s">
        <v>1718</v>
      </c>
      <c r="Z190" s="20" t="s">
        <v>1068</v>
      </c>
      <c r="AA190" s="31" t="s">
        <v>1719</v>
      </c>
      <c r="AB190" s="5" t="s">
        <v>1720</v>
      </c>
      <c r="AC190" s="5" t="s">
        <v>38</v>
      </c>
      <c r="AD190" s="5" t="s">
        <v>238</v>
      </c>
      <c r="AE190" s="36" t="s">
        <v>1704</v>
      </c>
      <c r="AF190" s="5" t="s">
        <v>1720</v>
      </c>
      <c r="AG190" s="5"/>
      <c r="AH190" s="31"/>
      <c r="AI190" s="31" t="s">
        <v>1335</v>
      </c>
      <c r="AJ190" s="5" t="s">
        <v>241</v>
      </c>
      <c r="AK190" s="5" t="s">
        <v>238</v>
      </c>
      <c r="AL190" s="31"/>
      <c r="AM190" s="31"/>
      <c r="AN190" s="31"/>
      <c r="AO190" s="31"/>
      <c r="AP190" s="31"/>
      <c r="AQ190" s="31"/>
      <c r="AR190" s="31" t="s">
        <v>243</v>
      </c>
      <c r="AS190" s="30">
        <v>25</v>
      </c>
      <c r="AT190" s="37"/>
      <c r="AU190" s="37"/>
      <c r="AV190" s="37"/>
      <c r="AW190" s="37"/>
      <c r="AX190" s="37"/>
      <c r="AY190" s="38"/>
      <c r="AZ190" s="38"/>
      <c r="BA190" s="38"/>
      <c r="BB190" s="46" t="s">
        <v>529</v>
      </c>
      <c r="BC190" s="37">
        <v>44</v>
      </c>
      <c r="BD190" s="37"/>
      <c r="BE190" s="5"/>
      <c r="BF190" s="5"/>
      <c r="BG190" s="31" t="s">
        <v>1721</v>
      </c>
      <c r="BH190" s="31" t="s">
        <v>1721</v>
      </c>
      <c r="BI190" s="31" t="s">
        <v>1721</v>
      </c>
      <c r="BJ190" s="48"/>
      <c r="BK190" s="49">
        <v>2</v>
      </c>
    </row>
    <row x14ac:dyDescent="0.25" r="191" customHeight="1" ht="31.5">
      <c r="A191" s="30" t="s">
        <v>386</v>
      </c>
      <c r="B191" s="1" t="s">
        <v>778</v>
      </c>
      <c r="C191" s="31" t="s">
        <v>1722</v>
      </c>
      <c r="D191" s="31" t="s">
        <v>780</v>
      </c>
      <c r="E191" s="5"/>
      <c r="F191" s="5" t="s">
        <v>577</v>
      </c>
      <c r="G191" s="5" t="s">
        <v>386</v>
      </c>
      <c r="H191" s="31" t="s">
        <v>386</v>
      </c>
      <c r="I191" s="31" t="s">
        <v>386</v>
      </c>
      <c r="J191" s="31" t="s">
        <v>386</v>
      </c>
      <c r="K191" s="62"/>
      <c r="L191" s="62"/>
      <c r="M191" s="5" t="s">
        <v>231</v>
      </c>
      <c r="N191" s="5" t="s">
        <v>386</v>
      </c>
      <c r="O191" s="33" t="s">
        <v>386</v>
      </c>
      <c r="P191" s="5" t="s">
        <v>386</v>
      </c>
      <c r="Q191" s="5" t="s">
        <v>386</v>
      </c>
      <c r="R191" s="31" t="s">
        <v>755</v>
      </c>
      <c r="S191" s="31" t="s">
        <v>386</v>
      </c>
      <c r="T191" s="31"/>
      <c r="U191" s="31"/>
      <c r="V191" s="5"/>
      <c r="W191" s="134"/>
      <c r="X191" s="41"/>
      <c r="Y191" s="42"/>
      <c r="Z191" s="20"/>
      <c r="AA191" s="31"/>
      <c r="AB191" s="31" t="s">
        <v>1723</v>
      </c>
      <c r="AC191" s="5" t="s">
        <v>38</v>
      </c>
      <c r="AD191" s="31" t="s">
        <v>259</v>
      </c>
      <c r="AE191" s="36" t="s">
        <v>1709</v>
      </c>
      <c r="AF191" s="31" t="s">
        <v>1723</v>
      </c>
      <c r="AG191" s="31"/>
      <c r="AH191" s="31"/>
      <c r="AI191" s="31"/>
      <c r="AJ191" s="31"/>
      <c r="AK191" s="31"/>
      <c r="AL191" s="31"/>
      <c r="AM191" s="31"/>
      <c r="AN191" s="31"/>
      <c r="AO191" s="31"/>
      <c r="AP191" s="31"/>
      <c r="AQ191" s="31"/>
      <c r="AR191" s="31" t="s">
        <v>243</v>
      </c>
      <c r="AS191" s="30"/>
      <c r="AT191" s="37"/>
      <c r="AU191" s="37"/>
      <c r="AV191" s="37"/>
      <c r="AW191" s="37"/>
      <c r="AX191" s="37"/>
      <c r="AY191" s="38"/>
      <c r="AZ191" s="38"/>
      <c r="BA191" s="38"/>
      <c r="BB191" s="46"/>
      <c r="BC191" s="37">
        <v>45</v>
      </c>
      <c r="BD191" s="37"/>
      <c r="BE191" s="5"/>
      <c r="BF191" s="5"/>
      <c r="BG191" s="31"/>
      <c r="BH191" s="31" t="s">
        <v>1724</v>
      </c>
      <c r="BI191" s="31" t="s">
        <v>1724</v>
      </c>
      <c r="BJ191" s="48"/>
      <c r="BK191" s="49">
        <v>2</v>
      </c>
    </row>
    <row x14ac:dyDescent="0.25" r="192" customHeight="1" ht="31.5">
      <c r="A192" s="30">
        <v>40003</v>
      </c>
      <c r="B192" s="5" t="s">
        <v>1725</v>
      </c>
      <c r="C192" s="31" t="s">
        <v>1726</v>
      </c>
      <c r="D192" s="31" t="s">
        <v>1727</v>
      </c>
      <c r="E192" s="5"/>
      <c r="F192" s="5" t="s">
        <v>637</v>
      </c>
      <c r="G192" s="5" t="s">
        <v>1728</v>
      </c>
      <c r="H192" s="31" t="s">
        <v>386</v>
      </c>
      <c r="I192" s="31"/>
      <c r="J192" s="31"/>
      <c r="K192" s="5" t="s">
        <v>1729</v>
      </c>
      <c r="L192" s="5"/>
      <c r="M192" s="5" t="s">
        <v>231</v>
      </c>
      <c r="N192" s="5" t="s">
        <v>1730</v>
      </c>
      <c r="O192" s="33"/>
      <c r="P192" s="5"/>
      <c r="Q192" s="5" t="s">
        <v>251</v>
      </c>
      <c r="R192" s="31" t="s">
        <v>755</v>
      </c>
      <c r="S192" s="31"/>
      <c r="T192" s="31" t="s">
        <v>1731</v>
      </c>
      <c r="U192" s="31" t="s">
        <v>1726</v>
      </c>
      <c r="V192" s="5"/>
      <c r="W192" s="40">
        <v>1</v>
      </c>
      <c r="X192" s="55" t="s">
        <v>594</v>
      </c>
      <c r="Y192" s="42"/>
      <c r="Z192" s="34">
        <v>1</v>
      </c>
      <c r="AA192" s="31"/>
      <c r="AB192" s="5" t="s">
        <v>1732</v>
      </c>
      <c r="AC192" s="5" t="s">
        <v>38</v>
      </c>
      <c r="AD192" s="5" t="s">
        <v>1733</v>
      </c>
      <c r="AE192" s="169" t="s">
        <v>1734</v>
      </c>
      <c r="AF192" s="5" t="s">
        <v>1735</v>
      </c>
      <c r="AG192" s="5"/>
      <c r="AH192" s="5"/>
      <c r="AI192" s="5"/>
      <c r="AJ192" s="5"/>
      <c r="AK192" s="5"/>
      <c r="AL192" s="5"/>
      <c r="AM192" s="5"/>
      <c r="AN192" s="5"/>
      <c r="AO192" s="5"/>
      <c r="AP192" s="5"/>
      <c r="AQ192" s="5"/>
      <c r="AR192" s="5" t="s">
        <v>263</v>
      </c>
      <c r="AS192" s="30"/>
      <c r="AT192" s="37"/>
      <c r="AU192" s="37"/>
      <c r="AV192" s="37"/>
      <c r="AW192" s="37"/>
      <c r="AX192" s="37"/>
      <c r="AY192" s="38"/>
      <c r="AZ192" s="38"/>
      <c r="BA192" s="34">
        <v>16</v>
      </c>
      <c r="BB192" s="46"/>
      <c r="BC192" s="37">
        <v>46</v>
      </c>
      <c r="BD192" s="37"/>
      <c r="BE192" s="5"/>
      <c r="BF192" s="5"/>
      <c r="BG192" s="31" t="s">
        <v>1736</v>
      </c>
      <c r="BH192" s="31" t="s">
        <v>1737</v>
      </c>
      <c r="BI192" s="47" t="s">
        <v>1738</v>
      </c>
      <c r="BJ192" s="60"/>
      <c r="BK192" s="49">
        <v>2</v>
      </c>
    </row>
    <row x14ac:dyDescent="0.25" r="193" customHeight="1" ht="48">
      <c r="A193" s="30">
        <v>10004</v>
      </c>
      <c r="B193" s="5" t="s">
        <v>1739</v>
      </c>
      <c r="C193" s="31" t="s">
        <v>1740</v>
      </c>
      <c r="D193" s="31" t="s">
        <v>1741</v>
      </c>
      <c r="E193" s="5" t="s">
        <v>529</v>
      </c>
      <c r="F193" s="5" t="s">
        <v>637</v>
      </c>
      <c r="G193" s="5" t="s">
        <v>1329</v>
      </c>
      <c r="H193" s="31" t="s">
        <v>1742</v>
      </c>
      <c r="I193" s="32"/>
      <c r="J193" s="32"/>
      <c r="K193" s="5"/>
      <c r="L193" s="5"/>
      <c r="M193" s="5" t="s">
        <v>231</v>
      </c>
      <c r="N193" s="5" t="s">
        <v>580</v>
      </c>
      <c r="O193" s="33"/>
      <c r="P193" s="5"/>
      <c r="Q193" s="1" t="s">
        <v>251</v>
      </c>
      <c r="R193" s="31" t="s">
        <v>286</v>
      </c>
      <c r="S193" s="31"/>
      <c r="T193" s="31"/>
      <c r="U193" s="31" t="s">
        <v>1740</v>
      </c>
      <c r="V193" s="5"/>
      <c r="W193" s="40">
        <v>1</v>
      </c>
      <c r="X193" s="31" t="s">
        <v>581</v>
      </c>
      <c r="Y193" s="42"/>
      <c r="Z193" s="35">
        <v>1</v>
      </c>
      <c r="AA193" s="31" t="s">
        <v>1741</v>
      </c>
      <c r="AB193" s="31" t="s">
        <v>1743</v>
      </c>
      <c r="AC193" s="5" t="s">
        <v>24</v>
      </c>
      <c r="AD193" s="5" t="s">
        <v>259</v>
      </c>
      <c r="AE193" s="36" t="s">
        <v>1744</v>
      </c>
      <c r="AF193" s="31" t="s">
        <v>1743</v>
      </c>
      <c r="AG193" s="31"/>
      <c r="AH193" s="31"/>
      <c r="AI193" s="31"/>
      <c r="AJ193" s="31" t="s">
        <v>262</v>
      </c>
      <c r="AK193" s="31" t="s">
        <v>259</v>
      </c>
      <c r="AL193" s="31"/>
      <c r="AM193" s="31"/>
      <c r="AN193" s="31"/>
      <c r="AO193" s="31"/>
      <c r="AP193" s="31"/>
      <c r="AQ193" s="31"/>
      <c r="AR193" s="31" t="s">
        <v>263</v>
      </c>
      <c r="AS193" s="30">
        <v>83</v>
      </c>
      <c r="AT193" s="37"/>
      <c r="AU193" s="37"/>
      <c r="AV193" s="37"/>
      <c r="AW193" s="37"/>
      <c r="AX193" s="37"/>
      <c r="AY193" s="38"/>
      <c r="AZ193" s="38"/>
      <c r="BA193" s="38"/>
      <c r="BB193" s="46" t="s">
        <v>529</v>
      </c>
      <c r="BC193" s="37">
        <v>48</v>
      </c>
      <c r="BD193" s="37"/>
      <c r="BE193" s="5"/>
      <c r="BF193" s="5"/>
      <c r="BG193" s="31" t="s">
        <v>1740</v>
      </c>
      <c r="BH193" s="31" t="s">
        <v>1740</v>
      </c>
      <c r="BI193" s="31" t="s">
        <v>1740</v>
      </c>
      <c r="BJ193" s="48"/>
      <c r="BK193" s="49">
        <v>3</v>
      </c>
    </row>
    <row x14ac:dyDescent="0.25" r="194" customHeight="1" ht="31.5">
      <c r="A194" s="30" t="s">
        <v>1745</v>
      </c>
      <c r="B194" s="5" t="s">
        <v>1746</v>
      </c>
      <c r="C194" s="31" t="s">
        <v>1747</v>
      </c>
      <c r="D194" s="31" t="s">
        <v>1748</v>
      </c>
      <c r="E194" s="5" t="s">
        <v>529</v>
      </c>
      <c r="F194" s="5" t="s">
        <v>637</v>
      </c>
      <c r="G194" s="5" t="s">
        <v>1329</v>
      </c>
      <c r="H194" s="31" t="s">
        <v>1749</v>
      </c>
      <c r="I194" s="32"/>
      <c r="J194" s="32"/>
      <c r="K194" s="5"/>
      <c r="L194" s="5"/>
      <c r="M194" s="5" t="s">
        <v>231</v>
      </c>
      <c r="N194" s="5" t="s">
        <v>580</v>
      </c>
      <c r="O194" s="33"/>
      <c r="P194" s="5"/>
      <c r="Q194" s="1" t="s">
        <v>251</v>
      </c>
      <c r="R194" s="31" t="s">
        <v>286</v>
      </c>
      <c r="S194" s="31"/>
      <c r="T194" s="31"/>
      <c r="U194" s="31" t="s">
        <v>1747</v>
      </c>
      <c r="V194" s="5"/>
      <c r="W194" s="40">
        <v>1</v>
      </c>
      <c r="X194" s="31" t="s">
        <v>581</v>
      </c>
      <c r="Y194" s="42"/>
      <c r="Z194" s="35">
        <v>1</v>
      </c>
      <c r="AA194" s="31" t="s">
        <v>1750</v>
      </c>
      <c r="AB194" s="31" t="s">
        <v>1751</v>
      </c>
      <c r="AC194" s="5" t="s">
        <v>24</v>
      </c>
      <c r="AD194" s="5" t="s">
        <v>259</v>
      </c>
      <c r="AE194" s="36" t="s">
        <v>1744</v>
      </c>
      <c r="AF194" s="31" t="s">
        <v>1751</v>
      </c>
      <c r="AG194" s="31"/>
      <c r="AH194" s="31"/>
      <c r="AI194" s="31"/>
      <c r="AJ194" s="31" t="s">
        <v>262</v>
      </c>
      <c r="AK194" s="31" t="s">
        <v>259</v>
      </c>
      <c r="AL194" s="31"/>
      <c r="AM194" s="31"/>
      <c r="AN194" s="31"/>
      <c r="AO194" s="31"/>
      <c r="AP194" s="31"/>
      <c r="AQ194" s="31"/>
      <c r="AR194" s="31" t="s">
        <v>263</v>
      </c>
      <c r="AS194" s="30">
        <v>84</v>
      </c>
      <c r="AT194" s="37"/>
      <c r="AU194" s="37"/>
      <c r="AV194" s="37"/>
      <c r="AW194" s="37"/>
      <c r="AX194" s="37"/>
      <c r="AY194" s="38"/>
      <c r="AZ194" s="38"/>
      <c r="BA194" s="38"/>
      <c r="BB194" s="46" t="s">
        <v>529</v>
      </c>
      <c r="BC194" s="37">
        <v>49</v>
      </c>
      <c r="BD194" s="37"/>
      <c r="BE194" s="5"/>
      <c r="BF194" s="5"/>
      <c r="BG194" s="31" t="s">
        <v>1747</v>
      </c>
      <c r="BH194" s="31" t="s">
        <v>1747</v>
      </c>
      <c r="BI194" s="31" t="s">
        <v>1747</v>
      </c>
      <c r="BJ194" s="48"/>
      <c r="BK194" s="49">
        <v>3</v>
      </c>
    </row>
    <row x14ac:dyDescent="0.25" r="195" customHeight="1" ht="81.75">
      <c r="A195" s="30" t="s">
        <v>1752</v>
      </c>
      <c r="B195" s="5" t="s">
        <v>1753</v>
      </c>
      <c r="C195" s="31" t="s">
        <v>1754</v>
      </c>
      <c r="D195" s="31" t="s">
        <v>1755</v>
      </c>
      <c r="E195" s="5" t="s">
        <v>529</v>
      </c>
      <c r="F195" s="5" t="s">
        <v>637</v>
      </c>
      <c r="G195" s="5" t="s">
        <v>1329</v>
      </c>
      <c r="H195" s="31" t="s">
        <v>1756</v>
      </c>
      <c r="I195" s="32"/>
      <c r="J195" s="32"/>
      <c r="K195" s="5"/>
      <c r="L195" s="5"/>
      <c r="M195" s="5" t="s">
        <v>231</v>
      </c>
      <c r="N195" s="5" t="s">
        <v>580</v>
      </c>
      <c r="O195" s="33"/>
      <c r="P195" s="5"/>
      <c r="Q195" s="1" t="s">
        <v>251</v>
      </c>
      <c r="R195" s="31" t="s">
        <v>286</v>
      </c>
      <c r="S195" s="31"/>
      <c r="T195" s="31"/>
      <c r="U195" s="31" t="s">
        <v>1754</v>
      </c>
      <c r="V195" s="5"/>
      <c r="W195" s="40">
        <v>1</v>
      </c>
      <c r="X195" s="31" t="s">
        <v>581</v>
      </c>
      <c r="Y195" s="42"/>
      <c r="Z195" s="35">
        <v>1</v>
      </c>
      <c r="AA195" s="31" t="s">
        <v>1757</v>
      </c>
      <c r="AB195" s="31" t="s">
        <v>1758</v>
      </c>
      <c r="AC195" s="5" t="s">
        <v>24</v>
      </c>
      <c r="AD195" s="5" t="s">
        <v>259</v>
      </c>
      <c r="AE195" s="36" t="s">
        <v>1744</v>
      </c>
      <c r="AF195" s="31" t="s">
        <v>1758</v>
      </c>
      <c r="AG195" s="31"/>
      <c r="AH195" s="31"/>
      <c r="AI195" s="31"/>
      <c r="AJ195" s="31" t="s">
        <v>262</v>
      </c>
      <c r="AK195" s="31" t="s">
        <v>259</v>
      </c>
      <c r="AL195" s="31"/>
      <c r="AM195" s="31"/>
      <c r="AN195" s="31"/>
      <c r="AO195" s="31"/>
      <c r="AP195" s="31"/>
      <c r="AQ195" s="31"/>
      <c r="AR195" s="31" t="s">
        <v>263</v>
      </c>
      <c r="AS195" s="30">
        <v>85</v>
      </c>
      <c r="AT195" s="37"/>
      <c r="AU195" s="37"/>
      <c r="AV195" s="37"/>
      <c r="AW195" s="37"/>
      <c r="AX195" s="37"/>
      <c r="AY195" s="38"/>
      <c r="AZ195" s="38"/>
      <c r="BA195" s="38"/>
      <c r="BB195" s="46" t="s">
        <v>529</v>
      </c>
      <c r="BC195" s="37">
        <v>50</v>
      </c>
      <c r="BD195" s="37"/>
      <c r="BE195" s="5"/>
      <c r="BF195" s="5"/>
      <c r="BG195" s="31" t="s">
        <v>1754</v>
      </c>
      <c r="BH195" s="31" t="s">
        <v>1754</v>
      </c>
      <c r="BI195" s="31" t="s">
        <v>1754</v>
      </c>
      <c r="BJ195" s="48"/>
      <c r="BK195" s="49">
        <v>3</v>
      </c>
    </row>
    <row x14ac:dyDescent="0.25" r="196" customHeight="1" ht="31.5">
      <c r="A196" s="30" t="s">
        <v>386</v>
      </c>
      <c r="B196" s="1" t="s">
        <v>778</v>
      </c>
      <c r="C196" s="31" t="s">
        <v>1759</v>
      </c>
      <c r="D196" s="31" t="s">
        <v>780</v>
      </c>
      <c r="E196" s="5"/>
      <c r="F196" s="5" t="s">
        <v>703</v>
      </c>
      <c r="G196" s="5" t="s">
        <v>386</v>
      </c>
      <c r="H196" s="31" t="s">
        <v>386</v>
      </c>
      <c r="I196" s="31" t="s">
        <v>386</v>
      </c>
      <c r="J196" s="31" t="s">
        <v>386</v>
      </c>
      <c r="K196" s="62"/>
      <c r="L196" s="62"/>
      <c r="M196" s="5" t="s">
        <v>231</v>
      </c>
      <c r="N196" s="5" t="s">
        <v>386</v>
      </c>
      <c r="O196" s="33" t="s">
        <v>386</v>
      </c>
      <c r="P196" s="5" t="s">
        <v>386</v>
      </c>
      <c r="Q196" s="5" t="s">
        <v>386</v>
      </c>
      <c r="R196" s="31" t="s">
        <v>755</v>
      </c>
      <c r="S196" s="31" t="s">
        <v>386</v>
      </c>
      <c r="T196" s="31"/>
      <c r="U196" s="31"/>
      <c r="V196" s="5"/>
      <c r="W196" s="134"/>
      <c r="X196" s="41"/>
      <c r="Y196" s="42"/>
      <c r="Z196" s="20"/>
      <c r="AA196" s="31"/>
      <c r="AB196" s="31" t="s">
        <v>1760</v>
      </c>
      <c r="AC196" s="5" t="s">
        <v>24</v>
      </c>
      <c r="AD196" s="31" t="s">
        <v>259</v>
      </c>
      <c r="AE196" s="36" t="s">
        <v>1761</v>
      </c>
      <c r="AF196" s="31" t="s">
        <v>1760</v>
      </c>
      <c r="AG196" s="31"/>
      <c r="AH196" s="31"/>
      <c r="AI196" s="31"/>
      <c r="AJ196" s="31" t="s">
        <v>262</v>
      </c>
      <c r="AK196" s="31" t="s">
        <v>259</v>
      </c>
      <c r="AL196" s="31"/>
      <c r="AM196" s="31"/>
      <c r="AN196" s="31"/>
      <c r="AO196" s="31"/>
      <c r="AP196" s="31"/>
      <c r="AQ196" s="31"/>
      <c r="AR196" s="31" t="s">
        <v>243</v>
      </c>
      <c r="AS196" s="30"/>
      <c r="AT196" s="37"/>
      <c r="AU196" s="37"/>
      <c r="AV196" s="37"/>
      <c r="AW196" s="37"/>
      <c r="AX196" s="37"/>
      <c r="AY196" s="38"/>
      <c r="AZ196" s="38"/>
      <c r="BA196" s="38"/>
      <c r="BB196" s="46"/>
      <c r="BC196" s="37">
        <v>51</v>
      </c>
      <c r="BD196" s="37"/>
      <c r="BE196" s="5"/>
      <c r="BF196" s="5"/>
      <c r="BG196" s="31"/>
      <c r="BH196" s="31" t="s">
        <v>1759</v>
      </c>
      <c r="BI196" s="31" t="s">
        <v>1759</v>
      </c>
      <c r="BJ196" s="48"/>
      <c r="BK196" s="49">
        <v>2</v>
      </c>
    </row>
    <row x14ac:dyDescent="0.25" r="197" customHeight="1" ht="31.5">
      <c r="A197" s="30" t="s">
        <v>386</v>
      </c>
      <c r="B197" s="1" t="s">
        <v>778</v>
      </c>
      <c r="C197" s="31" t="s">
        <v>1762</v>
      </c>
      <c r="D197" s="31" t="s">
        <v>780</v>
      </c>
      <c r="E197" s="5"/>
      <c r="F197" s="5" t="s">
        <v>1763</v>
      </c>
      <c r="G197" s="5" t="s">
        <v>386</v>
      </c>
      <c r="H197" s="31" t="s">
        <v>386</v>
      </c>
      <c r="I197" s="31" t="s">
        <v>386</v>
      </c>
      <c r="J197" s="31" t="s">
        <v>386</v>
      </c>
      <c r="K197" s="62"/>
      <c r="L197" s="62"/>
      <c r="M197" s="5" t="s">
        <v>231</v>
      </c>
      <c r="N197" s="5" t="s">
        <v>386</v>
      </c>
      <c r="O197" s="33" t="s">
        <v>386</v>
      </c>
      <c r="P197" s="5" t="s">
        <v>386</v>
      </c>
      <c r="Q197" s="5" t="s">
        <v>386</v>
      </c>
      <c r="R197" s="31" t="s">
        <v>755</v>
      </c>
      <c r="S197" s="31" t="s">
        <v>386</v>
      </c>
      <c r="T197" s="31"/>
      <c r="U197" s="31"/>
      <c r="V197" s="5"/>
      <c r="W197" s="134"/>
      <c r="X197" s="41"/>
      <c r="Y197" s="42"/>
      <c r="Z197" s="20"/>
      <c r="AA197" s="31"/>
      <c r="AB197" s="31" t="s">
        <v>1764</v>
      </c>
      <c r="AC197" s="5" t="s">
        <v>98</v>
      </c>
      <c r="AD197" s="31" t="s">
        <v>259</v>
      </c>
      <c r="AE197" s="36" t="s">
        <v>1761</v>
      </c>
      <c r="AF197" s="31" t="s">
        <v>1764</v>
      </c>
      <c r="AG197" s="31"/>
      <c r="AH197" s="31"/>
      <c r="AI197" s="31"/>
      <c r="AJ197" s="31" t="s">
        <v>262</v>
      </c>
      <c r="AK197" s="31" t="s">
        <v>259</v>
      </c>
      <c r="AL197" s="31"/>
      <c r="AM197" s="31"/>
      <c r="AN197" s="31"/>
      <c r="AO197" s="31"/>
      <c r="AP197" s="31"/>
      <c r="AQ197" s="31"/>
      <c r="AR197" s="31" t="s">
        <v>243</v>
      </c>
      <c r="AS197" s="30"/>
      <c r="AT197" s="37"/>
      <c r="AU197" s="37"/>
      <c r="AV197" s="37"/>
      <c r="AW197" s="37"/>
      <c r="AX197" s="37"/>
      <c r="AY197" s="38"/>
      <c r="AZ197" s="38"/>
      <c r="BA197" s="38"/>
      <c r="BB197" s="46"/>
      <c r="BC197" s="37">
        <v>52</v>
      </c>
      <c r="BD197" s="37"/>
      <c r="BE197" s="5"/>
      <c r="BF197" s="5"/>
      <c r="BG197" s="31"/>
      <c r="BH197" s="31" t="s">
        <v>1765</v>
      </c>
      <c r="BI197" s="31" t="s">
        <v>1765</v>
      </c>
      <c r="BJ197" s="48"/>
      <c r="BK197" s="49">
        <v>2</v>
      </c>
    </row>
    <row x14ac:dyDescent="0.25" r="198" customHeight="1" ht="31.5">
      <c r="A198" s="30" t="s">
        <v>386</v>
      </c>
      <c r="B198" s="1" t="s">
        <v>778</v>
      </c>
      <c r="C198" s="31" t="s">
        <v>1766</v>
      </c>
      <c r="D198" s="31" t="s">
        <v>780</v>
      </c>
      <c r="E198" s="5"/>
      <c r="F198" s="5" t="s">
        <v>577</v>
      </c>
      <c r="G198" s="5" t="s">
        <v>386</v>
      </c>
      <c r="H198" s="31" t="s">
        <v>386</v>
      </c>
      <c r="I198" s="31" t="s">
        <v>386</v>
      </c>
      <c r="J198" s="31" t="s">
        <v>386</v>
      </c>
      <c r="K198" s="62"/>
      <c r="L198" s="62"/>
      <c r="M198" s="5" t="s">
        <v>231</v>
      </c>
      <c r="N198" s="5" t="s">
        <v>386</v>
      </c>
      <c r="O198" s="33" t="s">
        <v>386</v>
      </c>
      <c r="P198" s="5" t="s">
        <v>386</v>
      </c>
      <c r="Q198" s="5" t="s">
        <v>386</v>
      </c>
      <c r="R198" s="31" t="s">
        <v>755</v>
      </c>
      <c r="S198" s="31" t="s">
        <v>386</v>
      </c>
      <c r="T198" s="31"/>
      <c r="U198" s="31"/>
      <c r="V198" s="5"/>
      <c r="W198" s="134"/>
      <c r="X198" s="41"/>
      <c r="Y198" s="42"/>
      <c r="Z198" s="20"/>
      <c r="AA198" s="31"/>
      <c r="AB198" s="31" t="s">
        <v>1767</v>
      </c>
      <c r="AC198" s="5" t="s">
        <v>38</v>
      </c>
      <c r="AD198" s="31" t="s">
        <v>259</v>
      </c>
      <c r="AE198" s="36" t="s">
        <v>1761</v>
      </c>
      <c r="AF198" s="31" t="s">
        <v>1767</v>
      </c>
      <c r="AG198" s="31"/>
      <c r="AH198" s="31" t="s">
        <v>27</v>
      </c>
      <c r="AI198" s="31"/>
      <c r="AJ198" s="31" t="s">
        <v>262</v>
      </c>
      <c r="AK198" s="31" t="s">
        <v>259</v>
      </c>
      <c r="AL198" s="31"/>
      <c r="AM198" s="31"/>
      <c r="AN198" s="31"/>
      <c r="AO198" s="31"/>
      <c r="AP198" s="31"/>
      <c r="AQ198" s="31"/>
      <c r="AR198" s="31" t="s">
        <v>243</v>
      </c>
      <c r="AS198" s="30"/>
      <c r="AT198" s="37"/>
      <c r="AU198" s="37"/>
      <c r="AV198" s="37"/>
      <c r="AW198" s="37"/>
      <c r="AX198" s="37"/>
      <c r="AY198" s="38"/>
      <c r="AZ198" s="38"/>
      <c r="BA198" s="38"/>
      <c r="BB198" s="46"/>
      <c r="BC198" s="37">
        <v>53</v>
      </c>
      <c r="BD198" s="37"/>
      <c r="BE198" s="5"/>
      <c r="BF198" s="5"/>
      <c r="BG198" s="31"/>
      <c r="BH198" s="31" t="s">
        <v>1768</v>
      </c>
      <c r="BI198" s="31" t="s">
        <v>1768</v>
      </c>
      <c r="BJ198" s="48"/>
      <c r="BK198" s="49">
        <v>2</v>
      </c>
    </row>
    <row x14ac:dyDescent="0.25" r="199" customHeight="1" ht="31.5">
      <c r="A199" s="30" t="s">
        <v>386</v>
      </c>
      <c r="B199" s="1" t="s">
        <v>778</v>
      </c>
      <c r="C199" s="31" t="s">
        <v>1769</v>
      </c>
      <c r="D199" s="31" t="s">
        <v>780</v>
      </c>
      <c r="E199" s="5"/>
      <c r="F199" s="5" t="s">
        <v>282</v>
      </c>
      <c r="G199" s="5" t="s">
        <v>386</v>
      </c>
      <c r="H199" s="31" t="s">
        <v>386</v>
      </c>
      <c r="I199" s="31" t="s">
        <v>386</v>
      </c>
      <c r="J199" s="31" t="s">
        <v>386</v>
      </c>
      <c r="K199" s="62"/>
      <c r="L199" s="62"/>
      <c r="M199" s="5" t="s">
        <v>231</v>
      </c>
      <c r="N199" s="5" t="s">
        <v>386</v>
      </c>
      <c r="O199" s="33" t="s">
        <v>386</v>
      </c>
      <c r="P199" s="5" t="s">
        <v>386</v>
      </c>
      <c r="Q199" s="5" t="s">
        <v>386</v>
      </c>
      <c r="R199" s="31" t="s">
        <v>755</v>
      </c>
      <c r="S199" s="31" t="s">
        <v>386</v>
      </c>
      <c r="T199" s="31"/>
      <c r="U199" s="31"/>
      <c r="V199" s="5"/>
      <c r="W199" s="134"/>
      <c r="X199" s="41"/>
      <c r="Y199" s="42"/>
      <c r="Z199" s="20"/>
      <c r="AA199" s="31"/>
      <c r="AB199" s="31" t="s">
        <v>1770</v>
      </c>
      <c r="AC199" s="5" t="s">
        <v>98</v>
      </c>
      <c r="AD199" s="31" t="s">
        <v>259</v>
      </c>
      <c r="AE199" s="36" t="s">
        <v>1761</v>
      </c>
      <c r="AF199" s="31" t="s">
        <v>1770</v>
      </c>
      <c r="AG199" s="31"/>
      <c r="AH199" s="31"/>
      <c r="AI199" s="31"/>
      <c r="AJ199" s="31" t="s">
        <v>262</v>
      </c>
      <c r="AK199" s="31" t="s">
        <v>259</v>
      </c>
      <c r="AL199" s="31"/>
      <c r="AM199" s="31"/>
      <c r="AN199" s="31"/>
      <c r="AO199" s="31"/>
      <c r="AP199" s="31"/>
      <c r="AQ199" s="31"/>
      <c r="AR199" s="31" t="s">
        <v>243</v>
      </c>
      <c r="AS199" s="30"/>
      <c r="AT199" s="37"/>
      <c r="AU199" s="37"/>
      <c r="AV199" s="37"/>
      <c r="AW199" s="37"/>
      <c r="AX199" s="37"/>
      <c r="AY199" s="38"/>
      <c r="AZ199" s="38"/>
      <c r="BA199" s="38"/>
      <c r="BB199" s="46"/>
      <c r="BC199" s="37">
        <v>54</v>
      </c>
      <c r="BD199" s="37"/>
      <c r="BE199" s="5"/>
      <c r="BF199" s="5"/>
      <c r="BG199" s="31"/>
      <c r="BH199" s="31" t="s">
        <v>1771</v>
      </c>
      <c r="BI199" s="31" t="s">
        <v>1771</v>
      </c>
      <c r="BJ199" s="48"/>
      <c r="BK199" s="49">
        <v>2</v>
      </c>
    </row>
    <row x14ac:dyDescent="0.25" r="200" customHeight="1" ht="31.5">
      <c r="A200" s="90" t="s">
        <v>386</v>
      </c>
      <c r="B200" s="91" t="s">
        <v>778</v>
      </c>
      <c r="C200" s="52" t="s">
        <v>11</v>
      </c>
      <c r="D200" s="52" t="s">
        <v>780</v>
      </c>
      <c r="E200" s="92"/>
      <c r="F200" s="92" t="s">
        <v>1772</v>
      </c>
      <c r="G200" s="92" t="s">
        <v>386</v>
      </c>
      <c r="H200" s="52" t="s">
        <v>386</v>
      </c>
      <c r="I200" s="52" t="s">
        <v>386</v>
      </c>
      <c r="J200" s="52" t="s">
        <v>386</v>
      </c>
      <c r="K200" s="92"/>
      <c r="L200" s="92"/>
      <c r="M200" s="92" t="s">
        <v>231</v>
      </c>
      <c r="N200" s="92" t="s">
        <v>386</v>
      </c>
      <c r="O200" s="93" t="s">
        <v>386</v>
      </c>
      <c r="P200" s="92" t="s">
        <v>386</v>
      </c>
      <c r="Q200" s="92" t="s">
        <v>386</v>
      </c>
      <c r="R200" s="52" t="s">
        <v>755</v>
      </c>
      <c r="S200" s="52" t="s">
        <v>386</v>
      </c>
      <c r="T200" s="52"/>
      <c r="U200" s="52"/>
      <c r="V200" s="92"/>
      <c r="W200" s="94"/>
      <c r="X200" s="52"/>
      <c r="Y200" s="92"/>
      <c r="Z200" s="153"/>
      <c r="AA200" s="52"/>
      <c r="AB200" s="52" t="s">
        <v>1773</v>
      </c>
      <c r="AC200" s="92" t="s">
        <v>76</v>
      </c>
      <c r="AD200" s="52" t="s">
        <v>259</v>
      </c>
      <c r="AE200" s="96" t="s">
        <v>1774</v>
      </c>
      <c r="AF200" s="52" t="s">
        <v>292</v>
      </c>
      <c r="AG200" s="52"/>
      <c r="AH200" s="52"/>
      <c r="AI200" s="52"/>
      <c r="AJ200" s="52" t="s">
        <v>262</v>
      </c>
      <c r="AK200" s="52" t="s">
        <v>259</v>
      </c>
      <c r="AL200" s="52"/>
      <c r="AM200" s="52"/>
      <c r="AN200" s="52" t="s">
        <v>1775</v>
      </c>
      <c r="AO200" s="52" t="s">
        <v>259</v>
      </c>
      <c r="AP200" s="52" t="s">
        <v>1774</v>
      </c>
      <c r="AQ200" s="52"/>
      <c r="AR200" s="52" t="s">
        <v>243</v>
      </c>
      <c r="AS200" s="90"/>
      <c r="AT200" s="97"/>
      <c r="AU200" s="97"/>
      <c r="AV200" s="97"/>
      <c r="AW200" s="97"/>
      <c r="AX200" s="97"/>
      <c r="AY200" s="94"/>
      <c r="AZ200" s="94"/>
      <c r="BA200" s="94"/>
      <c r="BB200" s="91"/>
      <c r="BC200" s="97">
        <v>95</v>
      </c>
      <c r="BD200" s="97"/>
      <c r="BE200" s="92"/>
      <c r="BF200" s="92"/>
      <c r="BG200" s="52"/>
      <c r="BH200" s="52" t="s">
        <v>11</v>
      </c>
      <c r="BI200" s="52" t="s">
        <v>11</v>
      </c>
      <c r="BJ200" s="52"/>
      <c r="BK200" s="90">
        <v>2</v>
      </c>
    </row>
    <row x14ac:dyDescent="0.25" r="201" customHeight="1" ht="45.75">
      <c r="A201" s="30" t="s">
        <v>1776</v>
      </c>
      <c r="B201" s="5" t="s">
        <v>1777</v>
      </c>
      <c r="C201" s="31" t="s">
        <v>1778</v>
      </c>
      <c r="D201" s="31" t="s">
        <v>1779</v>
      </c>
      <c r="E201" s="5"/>
      <c r="F201" s="5" t="s">
        <v>637</v>
      </c>
      <c r="G201" s="5" t="s">
        <v>1329</v>
      </c>
      <c r="H201" s="31" t="s">
        <v>1780</v>
      </c>
      <c r="I201" s="32"/>
      <c r="J201" s="32"/>
      <c r="K201" s="5"/>
      <c r="L201" s="5"/>
      <c r="M201" s="5" t="s">
        <v>231</v>
      </c>
      <c r="N201" s="5" t="s">
        <v>580</v>
      </c>
      <c r="O201" s="33"/>
      <c r="P201" s="5"/>
      <c r="Q201" s="1" t="s">
        <v>251</v>
      </c>
      <c r="R201" s="31" t="s">
        <v>286</v>
      </c>
      <c r="S201" s="31"/>
      <c r="T201" s="31"/>
      <c r="U201" s="31" t="s">
        <v>1778</v>
      </c>
      <c r="V201" s="5"/>
      <c r="W201" s="40">
        <v>0</v>
      </c>
      <c r="X201" s="31" t="s">
        <v>386</v>
      </c>
      <c r="Y201" s="42"/>
      <c r="Z201" s="35">
        <v>0</v>
      </c>
      <c r="AA201" s="31" t="s">
        <v>1781</v>
      </c>
      <c r="AB201" s="31" t="s">
        <v>1782</v>
      </c>
      <c r="AC201" s="5" t="s">
        <v>24</v>
      </c>
      <c r="AD201" s="5" t="s">
        <v>259</v>
      </c>
      <c r="AE201" s="36" t="s">
        <v>1399</v>
      </c>
      <c r="AF201" s="31" t="s">
        <v>1782</v>
      </c>
      <c r="AG201" s="31"/>
      <c r="AH201" s="31"/>
      <c r="AI201" s="31"/>
      <c r="AJ201" s="31" t="s">
        <v>262</v>
      </c>
      <c r="AK201" s="31" t="s">
        <v>259</v>
      </c>
      <c r="AL201" s="31"/>
      <c r="AM201" s="31"/>
      <c r="AN201" s="31"/>
      <c r="AO201" s="31"/>
      <c r="AP201" s="31"/>
      <c r="AQ201" s="31"/>
      <c r="AR201" s="31" t="s">
        <v>1352</v>
      </c>
      <c r="AS201" s="30">
        <v>15</v>
      </c>
      <c r="AT201" s="37"/>
      <c r="AU201" s="37"/>
      <c r="AV201" s="37"/>
      <c r="AW201" s="37"/>
      <c r="AX201" s="37"/>
      <c r="AY201" s="38"/>
      <c r="AZ201" s="38"/>
      <c r="BA201" s="38"/>
      <c r="BB201" s="46"/>
      <c r="BC201" s="37">
        <v>55</v>
      </c>
      <c r="BD201" s="37"/>
      <c r="BE201" s="5"/>
      <c r="BF201" s="5"/>
      <c r="BG201" s="31" t="s">
        <v>1778</v>
      </c>
      <c r="BH201" s="31" t="s">
        <v>1783</v>
      </c>
      <c r="BI201" s="31" t="s">
        <v>1783</v>
      </c>
      <c r="BJ201" s="48"/>
      <c r="BK201" s="49">
        <v>3</v>
      </c>
    </row>
    <row x14ac:dyDescent="0.25" r="202" customHeight="1" ht="49.5">
      <c r="A202" s="30">
        <v>10015</v>
      </c>
      <c r="B202" s="5" t="s">
        <v>1784</v>
      </c>
      <c r="C202" s="31" t="s">
        <v>1785</v>
      </c>
      <c r="D202" s="31" t="s">
        <v>1786</v>
      </c>
      <c r="E202" s="5" t="s">
        <v>529</v>
      </c>
      <c r="F202" s="5" t="s">
        <v>577</v>
      </c>
      <c r="G202" s="5" t="s">
        <v>1329</v>
      </c>
      <c r="H202" s="31" t="s">
        <v>1787</v>
      </c>
      <c r="I202" s="32"/>
      <c r="J202" s="32"/>
      <c r="K202" s="5"/>
      <c r="L202" s="5"/>
      <c r="M202" s="5" t="s">
        <v>231</v>
      </c>
      <c r="N202" s="5" t="s">
        <v>580</v>
      </c>
      <c r="O202" s="33"/>
      <c r="P202" s="5"/>
      <c r="Q202" s="1" t="s">
        <v>251</v>
      </c>
      <c r="R202" s="31" t="s">
        <v>286</v>
      </c>
      <c r="S202" s="31"/>
      <c r="T202" s="31"/>
      <c r="U202" s="31" t="s">
        <v>1788</v>
      </c>
      <c r="V202" s="5"/>
      <c r="W202" s="40">
        <v>1</v>
      </c>
      <c r="X202" s="31" t="s">
        <v>581</v>
      </c>
      <c r="Y202" s="42"/>
      <c r="Z202" s="35">
        <v>0</v>
      </c>
      <c r="AA202" s="31" t="s">
        <v>1789</v>
      </c>
      <c r="AB202" s="31" t="s">
        <v>1790</v>
      </c>
      <c r="AC202" s="5" t="s">
        <v>38</v>
      </c>
      <c r="AD202" s="5" t="s">
        <v>259</v>
      </c>
      <c r="AE202" s="36" t="s">
        <v>1399</v>
      </c>
      <c r="AF202" s="31" t="s">
        <v>1791</v>
      </c>
      <c r="AG202" s="31"/>
      <c r="AH202" s="31"/>
      <c r="AI202" s="31"/>
      <c r="AJ202" s="31" t="s">
        <v>262</v>
      </c>
      <c r="AK202" s="31" t="s">
        <v>259</v>
      </c>
      <c r="AL202" s="31"/>
      <c r="AM202" s="31"/>
      <c r="AN202" s="31"/>
      <c r="AO202" s="31"/>
      <c r="AP202" s="31"/>
      <c r="AQ202" s="31"/>
      <c r="AR202" s="31" t="s">
        <v>1352</v>
      </c>
      <c r="AS202" s="30">
        <v>16</v>
      </c>
      <c r="AT202" s="37"/>
      <c r="AU202" s="37"/>
      <c r="AV202" s="37"/>
      <c r="AW202" s="37"/>
      <c r="AX202" s="37"/>
      <c r="AY202" s="38"/>
      <c r="AZ202" s="38"/>
      <c r="BA202" s="38"/>
      <c r="BB202" s="46" t="s">
        <v>529</v>
      </c>
      <c r="BC202" s="37">
        <v>56</v>
      </c>
      <c r="BD202" s="37"/>
      <c r="BE202" s="5"/>
      <c r="BF202" s="5"/>
      <c r="BG202" s="31" t="s">
        <v>1785</v>
      </c>
      <c r="BH202" s="31" t="s">
        <v>1785</v>
      </c>
      <c r="BI202" s="31" t="s">
        <v>1785</v>
      </c>
      <c r="BJ202" s="48"/>
      <c r="BK202" s="49">
        <v>3</v>
      </c>
    </row>
    <row x14ac:dyDescent="0.25" r="203" customHeight="1" ht="31.5">
      <c r="A203" s="30" t="s">
        <v>1792</v>
      </c>
      <c r="B203" s="5" t="s">
        <v>1793</v>
      </c>
      <c r="C203" s="31" t="s">
        <v>1794</v>
      </c>
      <c r="D203" s="31" t="s">
        <v>1795</v>
      </c>
      <c r="E203" s="5"/>
      <c r="F203" s="5" t="s">
        <v>637</v>
      </c>
      <c r="G203" s="5" t="s">
        <v>1329</v>
      </c>
      <c r="H203" s="31" t="s">
        <v>1796</v>
      </c>
      <c r="I203" s="32"/>
      <c r="J203" s="32"/>
      <c r="K203" s="5"/>
      <c r="L203" s="5"/>
      <c r="M203" s="5" t="s">
        <v>231</v>
      </c>
      <c r="N203" s="5" t="s">
        <v>580</v>
      </c>
      <c r="O203" s="33"/>
      <c r="P203" s="5"/>
      <c r="Q203" s="1" t="s">
        <v>251</v>
      </c>
      <c r="R203" s="31" t="s">
        <v>286</v>
      </c>
      <c r="S203" s="31"/>
      <c r="T203" s="31"/>
      <c r="U203" s="31" t="s">
        <v>1797</v>
      </c>
      <c r="V203" s="5"/>
      <c r="W203" s="40">
        <v>0</v>
      </c>
      <c r="X203" s="31" t="s">
        <v>386</v>
      </c>
      <c r="Y203" s="42"/>
      <c r="Z203" s="35">
        <v>0</v>
      </c>
      <c r="AA203" s="31" t="s">
        <v>1798</v>
      </c>
      <c r="AB203" s="31" t="s">
        <v>1799</v>
      </c>
      <c r="AC203" s="5" t="s">
        <v>24</v>
      </c>
      <c r="AD203" s="5" t="s">
        <v>259</v>
      </c>
      <c r="AE203" s="36" t="s">
        <v>1399</v>
      </c>
      <c r="AF203" s="31" t="s">
        <v>1799</v>
      </c>
      <c r="AG203" s="31"/>
      <c r="AH203" s="31"/>
      <c r="AI203" s="31"/>
      <c r="AJ203" s="31" t="s">
        <v>262</v>
      </c>
      <c r="AK203" s="31" t="s">
        <v>259</v>
      </c>
      <c r="AL203" s="31"/>
      <c r="AM203" s="31"/>
      <c r="AN203" s="31"/>
      <c r="AO203" s="31"/>
      <c r="AP203" s="31"/>
      <c r="AQ203" s="31"/>
      <c r="AR203" s="31" t="s">
        <v>1352</v>
      </c>
      <c r="AS203" s="30">
        <v>17</v>
      </c>
      <c r="AT203" s="37"/>
      <c r="AU203" s="37"/>
      <c r="AV203" s="37"/>
      <c r="AW203" s="37"/>
      <c r="AX203" s="37"/>
      <c r="AY203" s="38"/>
      <c r="AZ203" s="38"/>
      <c r="BA203" s="38"/>
      <c r="BB203" s="46"/>
      <c r="BC203" s="37">
        <v>57</v>
      </c>
      <c r="BD203" s="37"/>
      <c r="BE203" s="5"/>
      <c r="BF203" s="5"/>
      <c r="BG203" s="31" t="s">
        <v>1797</v>
      </c>
      <c r="BH203" s="31" t="s">
        <v>1797</v>
      </c>
      <c r="BI203" s="31" t="s">
        <v>1797</v>
      </c>
      <c r="BJ203" s="48"/>
      <c r="BK203" s="49">
        <v>3</v>
      </c>
    </row>
    <row x14ac:dyDescent="0.25" r="204" customHeight="1" ht="31.5">
      <c r="A204" s="30">
        <v>10012</v>
      </c>
      <c r="B204" s="5" t="s">
        <v>1800</v>
      </c>
      <c r="C204" s="31" t="s">
        <v>1801</v>
      </c>
      <c r="D204" s="31" t="s">
        <v>1802</v>
      </c>
      <c r="E204" s="5" t="s">
        <v>529</v>
      </c>
      <c r="F204" s="5" t="s">
        <v>577</v>
      </c>
      <c r="G204" s="5" t="s">
        <v>1329</v>
      </c>
      <c r="H204" s="31" t="s">
        <v>783</v>
      </c>
      <c r="I204" s="32"/>
      <c r="J204" s="32"/>
      <c r="K204" s="5"/>
      <c r="L204" s="5"/>
      <c r="M204" s="5" t="s">
        <v>231</v>
      </c>
      <c r="N204" s="5" t="s">
        <v>580</v>
      </c>
      <c r="O204" s="33"/>
      <c r="P204" s="5"/>
      <c r="Q204" s="1" t="s">
        <v>251</v>
      </c>
      <c r="R204" s="31" t="s">
        <v>286</v>
      </c>
      <c r="S204" s="31"/>
      <c r="T204" s="31"/>
      <c r="U204" s="31" t="s">
        <v>1803</v>
      </c>
      <c r="V204" s="5"/>
      <c r="W204" s="40">
        <v>1</v>
      </c>
      <c r="X204" s="31" t="s">
        <v>581</v>
      </c>
      <c r="Y204" s="42" t="s">
        <v>1804</v>
      </c>
      <c r="Z204" s="35">
        <v>0</v>
      </c>
      <c r="AA204" s="31" t="s">
        <v>1802</v>
      </c>
      <c r="AB204" s="31" t="s">
        <v>1805</v>
      </c>
      <c r="AC204" s="5" t="s">
        <v>38</v>
      </c>
      <c r="AD204" s="5" t="s">
        <v>259</v>
      </c>
      <c r="AE204" s="36" t="s">
        <v>1399</v>
      </c>
      <c r="AF204" s="31" t="s">
        <v>1805</v>
      </c>
      <c r="AG204" s="31"/>
      <c r="AH204" s="31"/>
      <c r="AI204" s="31"/>
      <c r="AJ204" s="31" t="s">
        <v>262</v>
      </c>
      <c r="AK204" s="31" t="s">
        <v>259</v>
      </c>
      <c r="AL204" s="31"/>
      <c r="AM204" s="31"/>
      <c r="AN204" s="31"/>
      <c r="AO204" s="31"/>
      <c r="AP204" s="31"/>
      <c r="AQ204" s="31"/>
      <c r="AR204" s="31" t="s">
        <v>1352</v>
      </c>
      <c r="AS204" s="30">
        <v>11</v>
      </c>
      <c r="AT204" s="37"/>
      <c r="AU204" s="37"/>
      <c r="AV204" s="37"/>
      <c r="AW204" s="37"/>
      <c r="AX204" s="37"/>
      <c r="AY204" s="38"/>
      <c r="AZ204" s="38"/>
      <c r="BA204" s="38"/>
      <c r="BB204" s="46" t="s">
        <v>529</v>
      </c>
      <c r="BC204" s="37">
        <v>58</v>
      </c>
      <c r="BD204" s="37"/>
      <c r="BE204" s="5"/>
      <c r="BF204" s="5"/>
      <c r="BG204" s="31" t="s">
        <v>1806</v>
      </c>
      <c r="BH204" s="31" t="s">
        <v>1806</v>
      </c>
      <c r="BI204" s="31" t="s">
        <v>1806</v>
      </c>
      <c r="BJ204" s="48"/>
      <c r="BK204" s="49">
        <v>3</v>
      </c>
    </row>
    <row x14ac:dyDescent="0.25" r="205" customHeight="1" ht="31.5">
      <c r="A205" s="90" t="s">
        <v>386</v>
      </c>
      <c r="B205" s="91" t="s">
        <v>778</v>
      </c>
      <c r="C205" s="52" t="s">
        <v>1807</v>
      </c>
      <c r="D205" s="52" t="s">
        <v>780</v>
      </c>
      <c r="E205" s="92"/>
      <c r="F205" s="92" t="s">
        <v>577</v>
      </c>
      <c r="G205" s="92" t="s">
        <v>386</v>
      </c>
      <c r="H205" s="52" t="s">
        <v>386</v>
      </c>
      <c r="I205" s="52" t="s">
        <v>386</v>
      </c>
      <c r="J205" s="52" t="s">
        <v>386</v>
      </c>
      <c r="K205" s="92"/>
      <c r="L205" s="92" t="s">
        <v>1808</v>
      </c>
      <c r="M205" s="92"/>
      <c r="N205" s="92"/>
      <c r="O205" s="93"/>
      <c r="P205" s="92"/>
      <c r="Q205" s="92"/>
      <c r="R205" s="52"/>
      <c r="S205" s="52"/>
      <c r="T205" s="52"/>
      <c r="U205" s="52"/>
      <c r="V205" s="92"/>
      <c r="W205" s="94"/>
      <c r="X205" s="52"/>
      <c r="Y205" s="92"/>
      <c r="Z205" s="153"/>
      <c r="AA205" s="52"/>
      <c r="AB205" s="52" t="s">
        <v>1809</v>
      </c>
      <c r="AC205" s="92" t="s">
        <v>38</v>
      </c>
      <c r="AD205" s="52" t="s">
        <v>259</v>
      </c>
      <c r="AE205" s="96"/>
      <c r="AF205" s="52"/>
      <c r="AG205" s="52"/>
      <c r="AH205" s="52"/>
      <c r="AI205" s="52"/>
      <c r="AJ205" s="52"/>
      <c r="AK205" s="52"/>
      <c r="AL205" s="52"/>
      <c r="AM205" s="52"/>
      <c r="AN205" s="52"/>
      <c r="AO205" s="52"/>
      <c r="AP205" s="52"/>
      <c r="AQ205" s="52"/>
      <c r="AR205" s="52" t="s">
        <v>243</v>
      </c>
      <c r="AS205" s="90"/>
      <c r="AT205" s="97"/>
      <c r="AU205" s="97"/>
      <c r="AV205" s="97"/>
      <c r="AW205" s="97"/>
      <c r="AX205" s="97"/>
      <c r="AY205" s="94"/>
      <c r="AZ205" s="94"/>
      <c r="BA205" s="94"/>
      <c r="BB205" s="46"/>
      <c r="BC205" s="97">
        <v>59</v>
      </c>
      <c r="BD205" s="97"/>
      <c r="BE205" s="92"/>
      <c r="BF205" s="92"/>
      <c r="BG205" s="52"/>
      <c r="BH205" s="52" t="s">
        <v>1810</v>
      </c>
      <c r="BI205" s="52" t="s">
        <v>1810</v>
      </c>
      <c r="BJ205" s="52"/>
      <c r="BK205" s="90">
        <v>2</v>
      </c>
    </row>
    <row x14ac:dyDescent="0.25" r="206" customHeight="1" ht="31.5">
      <c r="A206" s="90" t="s">
        <v>386</v>
      </c>
      <c r="B206" s="91" t="s">
        <v>778</v>
      </c>
      <c r="C206" s="52" t="s">
        <v>1811</v>
      </c>
      <c r="D206" s="52" t="s">
        <v>780</v>
      </c>
      <c r="E206" s="92"/>
      <c r="F206" s="92" t="s">
        <v>226</v>
      </c>
      <c r="G206" s="92" t="s">
        <v>386</v>
      </c>
      <c r="H206" s="52" t="s">
        <v>386</v>
      </c>
      <c r="I206" s="52" t="s">
        <v>386</v>
      </c>
      <c r="J206" s="52" t="s">
        <v>386</v>
      </c>
      <c r="K206" s="92"/>
      <c r="L206" s="92" t="s">
        <v>1808</v>
      </c>
      <c r="M206" s="92"/>
      <c r="N206" s="92"/>
      <c r="O206" s="93"/>
      <c r="P206" s="92"/>
      <c r="Q206" s="92"/>
      <c r="R206" s="52"/>
      <c r="S206" s="52"/>
      <c r="T206" s="52"/>
      <c r="U206" s="52"/>
      <c r="V206" s="92"/>
      <c r="W206" s="94"/>
      <c r="X206" s="52"/>
      <c r="Y206" s="92"/>
      <c r="Z206" s="153"/>
      <c r="AA206" s="52"/>
      <c r="AB206" s="52" t="s">
        <v>1812</v>
      </c>
      <c r="AC206" s="92" t="s">
        <v>52</v>
      </c>
      <c r="AD206" s="52" t="s">
        <v>259</v>
      </c>
      <c r="AE206" s="96"/>
      <c r="AF206" s="52"/>
      <c r="AG206" s="52"/>
      <c r="AH206" s="52"/>
      <c r="AI206" s="52"/>
      <c r="AJ206" s="52"/>
      <c r="AK206" s="52"/>
      <c r="AL206" s="52"/>
      <c r="AM206" s="52"/>
      <c r="AN206" s="52"/>
      <c r="AO206" s="52"/>
      <c r="AP206" s="52"/>
      <c r="AQ206" s="52"/>
      <c r="AR206" s="52" t="s">
        <v>243</v>
      </c>
      <c r="AS206" s="90"/>
      <c r="AT206" s="97"/>
      <c r="AU206" s="97"/>
      <c r="AV206" s="97"/>
      <c r="AW206" s="97"/>
      <c r="AX206" s="97"/>
      <c r="AY206" s="94"/>
      <c r="AZ206" s="94"/>
      <c r="BA206" s="94"/>
      <c r="BB206" s="46"/>
      <c r="BC206" s="97">
        <v>60</v>
      </c>
      <c r="BD206" s="97"/>
      <c r="BE206" s="92"/>
      <c r="BF206" s="92"/>
      <c r="BG206" s="52"/>
      <c r="BH206" s="52" t="s">
        <v>1813</v>
      </c>
      <c r="BI206" s="52" t="s">
        <v>1813</v>
      </c>
      <c r="BJ206" s="52"/>
      <c r="BK206" s="90">
        <v>2</v>
      </c>
    </row>
    <row x14ac:dyDescent="0.25" r="207" customHeight="1" ht="31.5">
      <c r="A207" s="90" t="s">
        <v>386</v>
      </c>
      <c r="B207" s="91" t="s">
        <v>778</v>
      </c>
      <c r="C207" s="52" t="s">
        <v>1814</v>
      </c>
      <c r="D207" s="52" t="s">
        <v>780</v>
      </c>
      <c r="E207" s="92"/>
      <c r="F207" s="92" t="s">
        <v>577</v>
      </c>
      <c r="G207" s="92" t="s">
        <v>386</v>
      </c>
      <c r="H207" s="52" t="s">
        <v>386</v>
      </c>
      <c r="I207" s="52" t="s">
        <v>386</v>
      </c>
      <c r="J207" s="52" t="s">
        <v>386</v>
      </c>
      <c r="K207" s="92"/>
      <c r="L207" s="92" t="s">
        <v>1808</v>
      </c>
      <c r="M207" s="92"/>
      <c r="N207" s="92"/>
      <c r="O207" s="93"/>
      <c r="P207" s="92"/>
      <c r="Q207" s="92"/>
      <c r="R207" s="52"/>
      <c r="S207" s="52"/>
      <c r="T207" s="52"/>
      <c r="U207" s="52"/>
      <c r="V207" s="92"/>
      <c r="W207" s="94"/>
      <c r="X207" s="52"/>
      <c r="Y207" s="92"/>
      <c r="Z207" s="153"/>
      <c r="AA207" s="52"/>
      <c r="AB207" s="52" t="s">
        <v>1815</v>
      </c>
      <c r="AC207" s="92" t="s">
        <v>38</v>
      </c>
      <c r="AD207" s="52" t="s">
        <v>259</v>
      </c>
      <c r="AE207" s="96"/>
      <c r="AF207" s="52"/>
      <c r="AG207" s="52"/>
      <c r="AH207" s="52"/>
      <c r="AI207" s="52"/>
      <c r="AJ207" s="52"/>
      <c r="AK207" s="52"/>
      <c r="AL207" s="52"/>
      <c r="AM207" s="52"/>
      <c r="AN207" s="52"/>
      <c r="AO207" s="52"/>
      <c r="AP207" s="52"/>
      <c r="AQ207" s="52"/>
      <c r="AR207" s="52" t="s">
        <v>243</v>
      </c>
      <c r="AS207" s="90"/>
      <c r="AT207" s="97"/>
      <c r="AU207" s="97"/>
      <c r="AV207" s="97"/>
      <c r="AW207" s="97"/>
      <c r="AX207" s="97"/>
      <c r="AY207" s="94"/>
      <c r="AZ207" s="94"/>
      <c r="BA207" s="94"/>
      <c r="BB207" s="46"/>
      <c r="BC207" s="97">
        <v>61</v>
      </c>
      <c r="BD207" s="97"/>
      <c r="BE207" s="92"/>
      <c r="BF207" s="92"/>
      <c r="BG207" s="52"/>
      <c r="BH207" s="52" t="s">
        <v>1816</v>
      </c>
      <c r="BI207" s="52" t="s">
        <v>1816</v>
      </c>
      <c r="BJ207" s="52"/>
      <c r="BK207" s="90">
        <v>2</v>
      </c>
    </row>
    <row x14ac:dyDescent="0.25" r="208" customHeight="1" ht="49.5">
      <c r="A208" s="99" t="s">
        <v>386</v>
      </c>
      <c r="B208" s="190" t="s">
        <v>1817</v>
      </c>
      <c r="C208" s="101" t="s">
        <v>1818</v>
      </c>
      <c r="D208" s="101" t="s">
        <v>780</v>
      </c>
      <c r="E208" s="100"/>
      <c r="F208" s="100" t="s">
        <v>1819</v>
      </c>
      <c r="G208" s="100" t="s">
        <v>386</v>
      </c>
      <c r="H208" s="101" t="s">
        <v>386</v>
      </c>
      <c r="I208" s="101" t="s">
        <v>386</v>
      </c>
      <c r="J208" s="101" t="s">
        <v>386</v>
      </c>
      <c r="K208" s="100"/>
      <c r="L208" s="100" t="s">
        <v>1808</v>
      </c>
      <c r="M208" s="100"/>
      <c r="N208" s="100"/>
      <c r="O208" s="115"/>
      <c r="P208" s="100"/>
      <c r="Q208" s="100"/>
      <c r="R208" s="101"/>
      <c r="S208" s="101"/>
      <c r="T208" s="101"/>
      <c r="U208" s="101"/>
      <c r="V208" s="100"/>
      <c r="W208" s="104"/>
      <c r="X208" s="101"/>
      <c r="Y208" s="100"/>
      <c r="Z208" s="141"/>
      <c r="AA208" s="101"/>
      <c r="AB208" s="101" t="s">
        <v>827</v>
      </c>
      <c r="AC208" s="100" t="s">
        <v>76</v>
      </c>
      <c r="AD208" s="101" t="s">
        <v>259</v>
      </c>
      <c r="AE208" s="117"/>
      <c r="AF208" s="101"/>
      <c r="AG208" s="101"/>
      <c r="AH208" s="101"/>
      <c r="AI208" s="101"/>
      <c r="AJ208" s="101"/>
      <c r="AK208" s="101"/>
      <c r="AL208" s="101"/>
      <c r="AM208" s="101"/>
      <c r="AN208" s="101"/>
      <c r="AO208" s="101"/>
      <c r="AP208" s="101"/>
      <c r="AQ208" s="101"/>
      <c r="AR208" s="101" t="s">
        <v>243</v>
      </c>
      <c r="AS208" s="99"/>
      <c r="AT208" s="98"/>
      <c r="AU208" s="98"/>
      <c r="AV208" s="98"/>
      <c r="AW208" s="98"/>
      <c r="AX208" s="98"/>
      <c r="AY208" s="104"/>
      <c r="AZ208" s="104"/>
      <c r="BA208" s="104"/>
      <c r="BB208" s="102"/>
      <c r="BC208" s="98">
        <v>99</v>
      </c>
      <c r="BD208" s="98"/>
      <c r="BE208" s="100"/>
      <c r="BF208" s="100"/>
      <c r="BG208" s="101"/>
      <c r="BH208" s="101" t="s">
        <v>1820</v>
      </c>
      <c r="BI208" s="101" t="s">
        <v>1820</v>
      </c>
      <c r="BJ208" s="101"/>
      <c r="BK208" s="99"/>
    </row>
    <row x14ac:dyDescent="0.25" r="209" customHeight="1" ht="48.75">
      <c r="A209" s="90" t="s">
        <v>386</v>
      </c>
      <c r="B209" s="91" t="s">
        <v>778</v>
      </c>
      <c r="C209" s="52" t="s">
        <v>1821</v>
      </c>
      <c r="D209" s="52" t="s">
        <v>780</v>
      </c>
      <c r="E209" s="92"/>
      <c r="F209" s="92" t="s">
        <v>577</v>
      </c>
      <c r="G209" s="92" t="s">
        <v>386</v>
      </c>
      <c r="H209" s="52" t="s">
        <v>386</v>
      </c>
      <c r="I209" s="52" t="s">
        <v>386</v>
      </c>
      <c r="J209" s="52" t="s">
        <v>386</v>
      </c>
      <c r="K209" s="92"/>
      <c r="L209" s="92" t="s">
        <v>1808</v>
      </c>
      <c r="M209" s="92"/>
      <c r="N209" s="92"/>
      <c r="O209" s="93"/>
      <c r="P209" s="92"/>
      <c r="Q209" s="92"/>
      <c r="R209" s="52"/>
      <c r="S209" s="52"/>
      <c r="T209" s="52"/>
      <c r="U209" s="52"/>
      <c r="V209" s="92"/>
      <c r="W209" s="94"/>
      <c r="X209" s="52"/>
      <c r="Y209" s="92"/>
      <c r="Z209" s="153"/>
      <c r="AA209" s="52"/>
      <c r="AB209" s="52" t="s">
        <v>1822</v>
      </c>
      <c r="AC209" s="92" t="s">
        <v>38</v>
      </c>
      <c r="AD209" s="52" t="s">
        <v>259</v>
      </c>
      <c r="AE209" s="96"/>
      <c r="AF209" s="52"/>
      <c r="AG209" s="52"/>
      <c r="AH209" s="52"/>
      <c r="AI209" s="52"/>
      <c r="AJ209" s="52"/>
      <c r="AK209" s="52"/>
      <c r="AL209" s="52"/>
      <c r="AM209" s="52"/>
      <c r="AN209" s="52"/>
      <c r="AO209" s="52"/>
      <c r="AP209" s="52"/>
      <c r="AQ209" s="52"/>
      <c r="AR209" s="52" t="s">
        <v>243</v>
      </c>
      <c r="AS209" s="90"/>
      <c r="AT209" s="97"/>
      <c r="AU209" s="97"/>
      <c r="AV209" s="97"/>
      <c r="AW209" s="97"/>
      <c r="AX209" s="97"/>
      <c r="AY209" s="94"/>
      <c r="AZ209" s="94"/>
      <c r="BA209" s="94"/>
      <c r="BB209" s="46"/>
      <c r="BC209" s="97">
        <v>63</v>
      </c>
      <c r="BD209" s="97"/>
      <c r="BE209" s="92"/>
      <c r="BF209" s="92"/>
      <c r="BG209" s="52"/>
      <c r="BH209" s="52" t="s">
        <v>1823</v>
      </c>
      <c r="BI209" s="52" t="s">
        <v>1823</v>
      </c>
      <c r="BJ209" s="52"/>
      <c r="BK209" s="90">
        <v>2</v>
      </c>
    </row>
    <row x14ac:dyDescent="0.25" r="210" customHeight="1" ht="57">
      <c r="A210" s="99" t="s">
        <v>386</v>
      </c>
      <c r="B210" s="190" t="s">
        <v>1824</v>
      </c>
      <c r="C210" s="101" t="s">
        <v>1825</v>
      </c>
      <c r="D210" s="101" t="s">
        <v>780</v>
      </c>
      <c r="E210" s="100"/>
      <c r="F210" s="100" t="s">
        <v>1819</v>
      </c>
      <c r="G210" s="100" t="s">
        <v>386</v>
      </c>
      <c r="H210" s="101" t="s">
        <v>386</v>
      </c>
      <c r="I210" s="101" t="s">
        <v>386</v>
      </c>
      <c r="J210" s="101" t="s">
        <v>386</v>
      </c>
      <c r="K210" s="100"/>
      <c r="L210" s="100" t="s">
        <v>1808</v>
      </c>
      <c r="M210" s="100"/>
      <c r="N210" s="100"/>
      <c r="O210" s="115"/>
      <c r="P210" s="100"/>
      <c r="Q210" s="100"/>
      <c r="R210" s="101"/>
      <c r="S210" s="101"/>
      <c r="T210" s="101"/>
      <c r="U210" s="101"/>
      <c r="V210" s="100"/>
      <c r="W210" s="104"/>
      <c r="X210" s="101"/>
      <c r="Y210" s="100"/>
      <c r="Z210" s="141"/>
      <c r="AA210" s="101"/>
      <c r="AB210" s="101" t="s">
        <v>827</v>
      </c>
      <c r="AC210" s="100" t="s">
        <v>76</v>
      </c>
      <c r="AD210" s="101" t="s">
        <v>259</v>
      </c>
      <c r="AE210" s="117"/>
      <c r="AF210" s="101"/>
      <c r="AG210" s="101"/>
      <c r="AH210" s="101"/>
      <c r="AI210" s="101"/>
      <c r="AJ210" s="101"/>
      <c r="AK210" s="101"/>
      <c r="AL210" s="101"/>
      <c r="AM210" s="101"/>
      <c r="AN210" s="101"/>
      <c r="AO210" s="101"/>
      <c r="AP210" s="101"/>
      <c r="AQ210" s="101"/>
      <c r="AR210" s="101" t="s">
        <v>243</v>
      </c>
      <c r="AS210" s="99"/>
      <c r="AT210" s="98"/>
      <c r="AU210" s="98"/>
      <c r="AV210" s="98"/>
      <c r="AW210" s="98"/>
      <c r="AX210" s="98"/>
      <c r="AY210" s="104"/>
      <c r="AZ210" s="104"/>
      <c r="BA210" s="104"/>
      <c r="BB210" s="102"/>
      <c r="BC210" s="98">
        <v>100</v>
      </c>
      <c r="BD210" s="98"/>
      <c r="BE210" s="100"/>
      <c r="BF210" s="100"/>
      <c r="BG210" s="101"/>
      <c r="BH210" s="101" t="s">
        <v>1826</v>
      </c>
      <c r="BI210" s="101" t="s">
        <v>1826</v>
      </c>
      <c r="BJ210" s="101"/>
      <c r="BK210" s="99">
        <v>2</v>
      </c>
    </row>
    <row x14ac:dyDescent="0.25" r="211" customHeight="1" ht="50.25">
      <c r="A211" s="90" t="s">
        <v>386</v>
      </c>
      <c r="B211" s="91" t="s">
        <v>778</v>
      </c>
      <c r="C211" s="52" t="s">
        <v>1827</v>
      </c>
      <c r="D211" s="52" t="s">
        <v>780</v>
      </c>
      <c r="E211" s="92"/>
      <c r="F211" s="92" t="s">
        <v>577</v>
      </c>
      <c r="G211" s="92" t="s">
        <v>386</v>
      </c>
      <c r="H211" s="52" t="s">
        <v>386</v>
      </c>
      <c r="I211" s="52" t="s">
        <v>386</v>
      </c>
      <c r="J211" s="52" t="s">
        <v>386</v>
      </c>
      <c r="K211" s="92"/>
      <c r="L211" s="92" t="s">
        <v>1808</v>
      </c>
      <c r="M211" s="92"/>
      <c r="N211" s="92"/>
      <c r="O211" s="93"/>
      <c r="P211" s="92"/>
      <c r="Q211" s="92"/>
      <c r="R211" s="52"/>
      <c r="S211" s="52"/>
      <c r="T211" s="52"/>
      <c r="U211" s="52"/>
      <c r="V211" s="92"/>
      <c r="W211" s="94"/>
      <c r="X211" s="52"/>
      <c r="Y211" s="92"/>
      <c r="Z211" s="153"/>
      <c r="AA211" s="52"/>
      <c r="AB211" s="52" t="s">
        <v>1828</v>
      </c>
      <c r="AC211" s="92" t="s">
        <v>38</v>
      </c>
      <c r="AD211" s="52" t="s">
        <v>259</v>
      </c>
      <c r="AE211" s="96"/>
      <c r="AF211" s="52"/>
      <c r="AG211" s="52"/>
      <c r="AH211" s="52"/>
      <c r="AI211" s="52"/>
      <c r="AJ211" s="52"/>
      <c r="AK211" s="52"/>
      <c r="AL211" s="52"/>
      <c r="AM211" s="52"/>
      <c r="AN211" s="52"/>
      <c r="AO211" s="52"/>
      <c r="AP211" s="52"/>
      <c r="AQ211" s="52"/>
      <c r="AR211" s="52" t="s">
        <v>243</v>
      </c>
      <c r="AS211" s="90"/>
      <c r="AT211" s="97"/>
      <c r="AU211" s="97"/>
      <c r="AV211" s="97"/>
      <c r="AW211" s="97"/>
      <c r="AX211" s="97"/>
      <c r="AY211" s="94"/>
      <c r="AZ211" s="94"/>
      <c r="BA211" s="94"/>
      <c r="BB211" s="46"/>
      <c r="BC211" s="97">
        <v>66</v>
      </c>
      <c r="BD211" s="97"/>
      <c r="BE211" s="92"/>
      <c r="BF211" s="92"/>
      <c r="BG211" s="52"/>
      <c r="BH211" s="52" t="s">
        <v>1829</v>
      </c>
      <c r="BI211" s="52" t="s">
        <v>1829</v>
      </c>
      <c r="BJ211" s="52"/>
      <c r="BK211" s="90">
        <v>2</v>
      </c>
    </row>
    <row x14ac:dyDescent="0.25" r="212" customHeight="1" ht="50.25">
      <c r="A212" s="90" t="s">
        <v>386</v>
      </c>
      <c r="B212" s="91" t="s">
        <v>778</v>
      </c>
      <c r="C212" s="52" t="s">
        <v>1830</v>
      </c>
      <c r="D212" s="52" t="s">
        <v>780</v>
      </c>
      <c r="E212" s="92"/>
      <c r="F212" s="92" t="s">
        <v>577</v>
      </c>
      <c r="G212" s="92" t="s">
        <v>386</v>
      </c>
      <c r="H212" s="52" t="s">
        <v>386</v>
      </c>
      <c r="I212" s="52" t="s">
        <v>386</v>
      </c>
      <c r="J212" s="52" t="s">
        <v>386</v>
      </c>
      <c r="K212" s="92"/>
      <c r="L212" s="92" t="s">
        <v>1808</v>
      </c>
      <c r="M212" s="92"/>
      <c r="N212" s="92"/>
      <c r="O212" s="93"/>
      <c r="P212" s="92"/>
      <c r="Q212" s="92"/>
      <c r="R212" s="52"/>
      <c r="S212" s="52"/>
      <c r="T212" s="52"/>
      <c r="U212" s="52"/>
      <c r="V212" s="92"/>
      <c r="W212" s="94"/>
      <c r="X212" s="52"/>
      <c r="Y212" s="92"/>
      <c r="Z212" s="153"/>
      <c r="AA212" s="52"/>
      <c r="AB212" s="52" t="s">
        <v>1831</v>
      </c>
      <c r="AC212" s="92" t="s">
        <v>38</v>
      </c>
      <c r="AD212" s="52" t="s">
        <v>259</v>
      </c>
      <c r="AE212" s="96"/>
      <c r="AF212" s="52"/>
      <c r="AG212" s="52"/>
      <c r="AH212" s="52"/>
      <c r="AI212" s="52"/>
      <c r="AJ212" s="52"/>
      <c r="AK212" s="52"/>
      <c r="AL212" s="52"/>
      <c r="AM212" s="52"/>
      <c r="AN212" s="52"/>
      <c r="AO212" s="52"/>
      <c r="AP212" s="52"/>
      <c r="AQ212" s="52"/>
      <c r="AR212" s="52" t="s">
        <v>243</v>
      </c>
      <c r="AS212" s="90"/>
      <c r="AT212" s="97"/>
      <c r="AU212" s="97"/>
      <c r="AV212" s="97"/>
      <c r="AW212" s="97"/>
      <c r="AX212" s="97"/>
      <c r="AY212" s="94"/>
      <c r="AZ212" s="94"/>
      <c r="BA212" s="94"/>
      <c r="BB212" s="46"/>
      <c r="BC212" s="97">
        <v>71</v>
      </c>
      <c r="BD212" s="97"/>
      <c r="BE212" s="92"/>
      <c r="BF212" s="92"/>
      <c r="BG212" s="52"/>
      <c r="BH212" s="52" t="s">
        <v>1832</v>
      </c>
      <c r="BI212" s="52" t="s">
        <v>1832</v>
      </c>
      <c r="BJ212" s="52"/>
      <c r="BK212" s="90">
        <v>2</v>
      </c>
    </row>
    <row x14ac:dyDescent="0.25" r="213" customHeight="1" ht="31.5">
      <c r="A213" s="30">
        <v>10034</v>
      </c>
      <c r="B213" s="5" t="s">
        <v>1833</v>
      </c>
      <c r="C213" s="31" t="s">
        <v>1834</v>
      </c>
      <c r="D213" s="31" t="s">
        <v>1835</v>
      </c>
      <c r="E213" s="5"/>
      <c r="F213" s="5" t="s">
        <v>577</v>
      </c>
      <c r="G213" s="5" t="s">
        <v>1329</v>
      </c>
      <c r="H213" s="31" t="s">
        <v>1836</v>
      </c>
      <c r="I213" s="32"/>
      <c r="J213" s="32"/>
      <c r="K213" s="5"/>
      <c r="L213" s="5"/>
      <c r="M213" s="5" t="s">
        <v>231</v>
      </c>
      <c r="N213" s="5" t="s">
        <v>579</v>
      </c>
      <c r="O213" s="33"/>
      <c r="P213" s="5"/>
      <c r="Q213" s="1" t="s">
        <v>251</v>
      </c>
      <c r="R213" s="31" t="s">
        <v>252</v>
      </c>
      <c r="S213" s="31"/>
      <c r="T213" s="31"/>
      <c r="U213" s="31" t="s">
        <v>1837</v>
      </c>
      <c r="V213" s="5"/>
      <c r="W213" s="40">
        <v>1</v>
      </c>
      <c r="X213" s="31" t="s">
        <v>581</v>
      </c>
      <c r="Y213" s="42" t="s">
        <v>1838</v>
      </c>
      <c r="Z213" s="35">
        <v>0</v>
      </c>
      <c r="AA213" s="31" t="s">
        <v>1835</v>
      </c>
      <c r="AB213" s="31" t="s">
        <v>1839</v>
      </c>
      <c r="AC213" s="5" t="s">
        <v>38</v>
      </c>
      <c r="AD213" s="5" t="s">
        <v>259</v>
      </c>
      <c r="AE213" s="36" t="s">
        <v>1399</v>
      </c>
      <c r="AF213" s="31" t="s">
        <v>1840</v>
      </c>
      <c r="AG213" s="31"/>
      <c r="AH213" s="31"/>
      <c r="AI213" s="31"/>
      <c r="AJ213" s="31" t="s">
        <v>262</v>
      </c>
      <c r="AK213" s="31" t="s">
        <v>259</v>
      </c>
      <c r="AL213" s="31"/>
      <c r="AM213" s="31"/>
      <c r="AN213" s="31"/>
      <c r="AO213" s="31"/>
      <c r="AP213" s="31"/>
      <c r="AQ213" s="31"/>
      <c r="AR213" s="31" t="s">
        <v>1352</v>
      </c>
      <c r="AS213" s="30">
        <v>24</v>
      </c>
      <c r="AT213" s="37"/>
      <c r="AU213" s="37"/>
      <c r="AV213" s="37"/>
      <c r="AW213" s="37"/>
      <c r="AX213" s="37"/>
      <c r="AY213" s="38"/>
      <c r="AZ213" s="38"/>
      <c r="BA213" s="38"/>
      <c r="BB213" s="46"/>
      <c r="BC213" s="37">
        <v>73</v>
      </c>
      <c r="BD213" s="37"/>
      <c r="BE213" s="5"/>
      <c r="BF213" s="5"/>
      <c r="BG213" s="31" t="s">
        <v>1837</v>
      </c>
      <c r="BH213" s="31" t="s">
        <v>1834</v>
      </c>
      <c r="BI213" s="31" t="s">
        <v>1834</v>
      </c>
      <c r="BJ213" s="48"/>
      <c r="BK213" s="49">
        <v>3</v>
      </c>
    </row>
    <row x14ac:dyDescent="0.25" r="214" customHeight="1" ht="31.5">
      <c r="A214" s="118" t="s">
        <v>386</v>
      </c>
      <c r="B214" s="46" t="s">
        <v>778</v>
      </c>
      <c r="C214" s="191" t="s">
        <v>1841</v>
      </c>
      <c r="D214" s="191" t="s">
        <v>1841</v>
      </c>
      <c r="E214" s="119"/>
      <c r="F214" s="119" t="s">
        <v>577</v>
      </c>
      <c r="G214" s="119" t="s">
        <v>386</v>
      </c>
      <c r="H214" s="191" t="s">
        <v>386</v>
      </c>
      <c r="I214" s="191" t="s">
        <v>386</v>
      </c>
      <c r="J214" s="191" t="s">
        <v>386</v>
      </c>
      <c r="K214" s="119"/>
      <c r="L214" s="119"/>
      <c r="M214" s="119"/>
      <c r="N214" s="119"/>
      <c r="O214" s="192"/>
      <c r="P214" s="119"/>
      <c r="Q214" s="119"/>
      <c r="R214" s="191"/>
      <c r="S214" s="191"/>
      <c r="T214" s="191"/>
      <c r="U214" s="191"/>
      <c r="V214" s="119"/>
      <c r="W214" s="120"/>
      <c r="X214" s="191"/>
      <c r="Y214" s="119"/>
      <c r="Z214" s="193"/>
      <c r="AA214" s="191"/>
      <c r="AB214" s="191"/>
      <c r="AC214" s="119"/>
      <c r="AD214" s="191"/>
      <c r="AE214" s="194"/>
      <c r="AF214" s="191"/>
      <c r="AG214" s="191"/>
      <c r="AH214" s="191"/>
      <c r="AI214" s="191"/>
      <c r="AJ214" s="191"/>
      <c r="AK214" s="191"/>
      <c r="AL214" s="191"/>
      <c r="AM214" s="191"/>
      <c r="AN214" s="191"/>
      <c r="AO214" s="191"/>
      <c r="AP214" s="191"/>
      <c r="AQ214" s="191"/>
      <c r="AR214" s="191" t="s">
        <v>243</v>
      </c>
      <c r="AS214" s="118"/>
      <c r="AT214" s="121"/>
      <c r="AU214" s="121"/>
      <c r="AV214" s="121"/>
      <c r="AW214" s="121"/>
      <c r="AX214" s="121"/>
      <c r="AY214" s="120"/>
      <c r="AZ214" s="120"/>
      <c r="BA214" s="120"/>
      <c r="BB214" s="46"/>
      <c r="BC214" s="121"/>
      <c r="BD214" s="121"/>
      <c r="BE214" s="119"/>
      <c r="BF214" s="119"/>
      <c r="BG214" s="191"/>
      <c r="BH214" s="191"/>
      <c r="BI214" s="191"/>
      <c r="BJ214" s="48"/>
      <c r="BK214" s="49"/>
    </row>
    <row x14ac:dyDescent="0.25" r="215" customHeight="1" ht="31.5">
      <c r="A215" s="118" t="s">
        <v>386</v>
      </c>
      <c r="B215" s="46" t="s">
        <v>778</v>
      </c>
      <c r="C215" s="191" t="s">
        <v>1841</v>
      </c>
      <c r="D215" s="191" t="s">
        <v>1841</v>
      </c>
      <c r="E215" s="119"/>
      <c r="F215" s="119" t="s">
        <v>226</v>
      </c>
      <c r="G215" s="119" t="s">
        <v>386</v>
      </c>
      <c r="H215" s="191" t="s">
        <v>386</v>
      </c>
      <c r="I215" s="191" t="s">
        <v>386</v>
      </c>
      <c r="J215" s="191" t="s">
        <v>386</v>
      </c>
      <c r="K215" s="119"/>
      <c r="L215" s="119"/>
      <c r="M215" s="119"/>
      <c r="N215" s="119"/>
      <c r="O215" s="192"/>
      <c r="P215" s="119"/>
      <c r="Q215" s="119"/>
      <c r="R215" s="191"/>
      <c r="S215" s="191"/>
      <c r="T215" s="191"/>
      <c r="U215" s="191"/>
      <c r="V215" s="119"/>
      <c r="W215" s="120"/>
      <c r="X215" s="191"/>
      <c r="Y215" s="119"/>
      <c r="Z215" s="193"/>
      <c r="AA215" s="191"/>
      <c r="AB215" s="191"/>
      <c r="AC215" s="119"/>
      <c r="AD215" s="191"/>
      <c r="AE215" s="194"/>
      <c r="AF215" s="191"/>
      <c r="AG215" s="191"/>
      <c r="AH215" s="191"/>
      <c r="AI215" s="191"/>
      <c r="AJ215" s="191"/>
      <c r="AK215" s="191"/>
      <c r="AL215" s="191"/>
      <c r="AM215" s="191"/>
      <c r="AN215" s="191"/>
      <c r="AO215" s="191"/>
      <c r="AP215" s="191"/>
      <c r="AQ215" s="191"/>
      <c r="AR215" s="191" t="s">
        <v>243</v>
      </c>
      <c r="AS215" s="118"/>
      <c r="AT215" s="121"/>
      <c r="AU215" s="121"/>
      <c r="AV215" s="121"/>
      <c r="AW215" s="121"/>
      <c r="AX215" s="121"/>
      <c r="AY215" s="120"/>
      <c r="AZ215" s="120"/>
      <c r="BA215" s="120"/>
      <c r="BB215" s="46"/>
      <c r="BC215" s="121"/>
      <c r="BD215" s="121"/>
      <c r="BE215" s="119"/>
      <c r="BF215" s="119"/>
      <c r="BG215" s="191"/>
      <c r="BH215" s="191"/>
      <c r="BI215" s="191"/>
      <c r="BJ215" s="48"/>
      <c r="BK215" s="49"/>
    </row>
    <row x14ac:dyDescent="0.25" r="216" customHeight="1" ht="31.5">
      <c r="A216" s="30">
        <v>10060</v>
      </c>
      <c r="B216" s="5" t="s">
        <v>1842</v>
      </c>
      <c r="C216" s="31" t="s">
        <v>1843</v>
      </c>
      <c r="D216" s="31" t="s">
        <v>1844</v>
      </c>
      <c r="E216" s="5"/>
      <c r="F216" s="5" t="s">
        <v>226</v>
      </c>
      <c r="G216" s="5" t="s">
        <v>1030</v>
      </c>
      <c r="H216" s="107" t="s">
        <v>1845</v>
      </c>
      <c r="I216" s="32"/>
      <c r="J216" s="32"/>
      <c r="K216" s="5"/>
      <c r="L216" s="5"/>
      <c r="M216" s="5" t="s">
        <v>231</v>
      </c>
      <c r="N216" s="5" t="s">
        <v>250</v>
      </c>
      <c r="O216" s="33"/>
      <c r="P216" s="5"/>
      <c r="Q216" s="1" t="s">
        <v>233</v>
      </c>
      <c r="R216" s="31" t="s">
        <v>233</v>
      </c>
      <c r="S216" s="31"/>
      <c r="T216" s="31" t="s">
        <v>1846</v>
      </c>
      <c r="U216" s="31" t="s">
        <v>1847</v>
      </c>
      <c r="V216" s="5"/>
      <c r="W216" s="40">
        <v>1</v>
      </c>
      <c r="X216" s="41" t="s">
        <v>1848</v>
      </c>
      <c r="Y216" s="42" t="s">
        <v>256</v>
      </c>
      <c r="Z216" s="35">
        <v>0</v>
      </c>
      <c r="AA216" s="31" t="s">
        <v>1849</v>
      </c>
      <c r="AB216" s="31" t="s">
        <v>1850</v>
      </c>
      <c r="AC216" s="5" t="s">
        <v>52</v>
      </c>
      <c r="AD216" s="5" t="s">
        <v>238</v>
      </c>
      <c r="AE216" s="36" t="s">
        <v>1851</v>
      </c>
      <c r="AF216" s="31" t="s">
        <v>1850</v>
      </c>
      <c r="AG216" s="31"/>
      <c r="AH216" s="31"/>
      <c r="AI216" s="31"/>
      <c r="AJ216" s="31" t="s">
        <v>241</v>
      </c>
      <c r="AK216" s="31" t="s">
        <v>238</v>
      </c>
      <c r="AL216" s="31"/>
      <c r="AM216" s="31"/>
      <c r="AN216" s="31"/>
      <c r="AO216" s="31"/>
      <c r="AP216" s="31"/>
      <c r="AQ216" s="31"/>
      <c r="AR216" s="31"/>
      <c r="AS216" s="30">
        <v>69</v>
      </c>
      <c r="AT216" s="37"/>
      <c r="AU216" s="37"/>
      <c r="AV216" s="37"/>
      <c r="AW216" s="37"/>
      <c r="AX216" s="37"/>
      <c r="AY216" s="38"/>
      <c r="AZ216" s="38"/>
      <c r="BA216" s="38"/>
      <c r="BB216" s="46"/>
      <c r="BC216" s="37">
        <v>72</v>
      </c>
      <c r="BD216" s="37"/>
      <c r="BE216" s="5"/>
      <c r="BF216" s="5"/>
      <c r="BG216" s="47" t="s">
        <v>1852</v>
      </c>
      <c r="BH216" s="47" t="s">
        <v>1852</v>
      </c>
      <c r="BI216" s="47" t="s">
        <v>1852</v>
      </c>
      <c r="BJ216" s="60"/>
      <c r="BK216" s="49">
        <v>3</v>
      </c>
    </row>
    <row x14ac:dyDescent="0.25" r="217" customHeight="1" ht="31.5">
      <c r="A217" s="30" t="s">
        <v>386</v>
      </c>
      <c r="B217" s="1" t="s">
        <v>778</v>
      </c>
      <c r="C217" s="31" t="s">
        <v>1853</v>
      </c>
      <c r="D217" s="31" t="s">
        <v>780</v>
      </c>
      <c r="E217" s="5"/>
      <c r="F217" s="5" t="s">
        <v>226</v>
      </c>
      <c r="G217" s="5" t="s">
        <v>386</v>
      </c>
      <c r="H217" s="31" t="s">
        <v>386</v>
      </c>
      <c r="I217" s="31" t="s">
        <v>386</v>
      </c>
      <c r="J217" s="31" t="s">
        <v>386</v>
      </c>
      <c r="K217" s="62"/>
      <c r="L217" s="62"/>
      <c r="M217" s="5" t="s">
        <v>231</v>
      </c>
      <c r="N217" s="5" t="s">
        <v>386</v>
      </c>
      <c r="O217" s="33" t="s">
        <v>386</v>
      </c>
      <c r="P217" s="5" t="s">
        <v>386</v>
      </c>
      <c r="Q217" s="5" t="s">
        <v>386</v>
      </c>
      <c r="R217" s="31" t="s">
        <v>755</v>
      </c>
      <c r="S217" s="31" t="s">
        <v>386</v>
      </c>
      <c r="T217" s="31"/>
      <c r="U217" s="31"/>
      <c r="V217" s="5"/>
      <c r="W217" s="134"/>
      <c r="X217" s="41"/>
      <c r="Y217" s="42"/>
      <c r="Z217" s="20"/>
      <c r="AA217" s="31"/>
      <c r="AB217" s="31" t="s">
        <v>1854</v>
      </c>
      <c r="AC217" s="5" t="s">
        <v>52</v>
      </c>
      <c r="AD217" s="31" t="s">
        <v>259</v>
      </c>
      <c r="AE217" s="36" t="s">
        <v>1709</v>
      </c>
      <c r="AF217" s="31" t="s">
        <v>1854</v>
      </c>
      <c r="AG217" s="31"/>
      <c r="AH217" s="31"/>
      <c r="AI217" s="31"/>
      <c r="AJ217" s="31"/>
      <c r="AK217" s="31"/>
      <c r="AL217" s="31"/>
      <c r="AM217" s="31"/>
      <c r="AN217" s="31"/>
      <c r="AO217" s="31"/>
      <c r="AP217" s="31"/>
      <c r="AQ217" s="31"/>
      <c r="AR217" s="31" t="s">
        <v>243</v>
      </c>
      <c r="AS217" s="30"/>
      <c r="AT217" s="37"/>
      <c r="AU217" s="37"/>
      <c r="AV217" s="37"/>
      <c r="AW217" s="37"/>
      <c r="AX217" s="37"/>
      <c r="AY217" s="38"/>
      <c r="AZ217" s="38"/>
      <c r="BA217" s="38"/>
      <c r="BB217" s="46"/>
      <c r="BC217" s="37">
        <v>74</v>
      </c>
      <c r="BD217" s="37"/>
      <c r="BE217" s="5"/>
      <c r="BF217" s="5"/>
      <c r="BG217" s="31"/>
      <c r="BH217" s="31" t="s">
        <v>1855</v>
      </c>
      <c r="BI217" s="31" t="s">
        <v>1855</v>
      </c>
      <c r="BJ217" s="48"/>
      <c r="BK217" s="49">
        <v>2</v>
      </c>
    </row>
    <row x14ac:dyDescent="0.25" r="218" customHeight="1" ht="31.5">
      <c r="A218" s="30">
        <v>10065</v>
      </c>
      <c r="B218" s="5" t="s">
        <v>1856</v>
      </c>
      <c r="C218" s="31" t="s">
        <v>1857</v>
      </c>
      <c r="D218" s="31" t="s">
        <v>1858</v>
      </c>
      <c r="E218" s="5"/>
      <c r="F218" s="5" t="s">
        <v>226</v>
      </c>
      <c r="G218" s="5" t="s">
        <v>1329</v>
      </c>
      <c r="H218" s="31" t="s">
        <v>1859</v>
      </c>
      <c r="I218" s="32"/>
      <c r="J218" s="32"/>
      <c r="K218" s="5"/>
      <c r="L218" s="5"/>
      <c r="M218" s="5" t="s">
        <v>231</v>
      </c>
      <c r="N218" s="5" t="s">
        <v>250</v>
      </c>
      <c r="O218" s="33"/>
      <c r="P218" s="5"/>
      <c r="Q218" s="1" t="s">
        <v>233</v>
      </c>
      <c r="R218" s="31" t="s">
        <v>233</v>
      </c>
      <c r="S218" s="31"/>
      <c r="T218" s="31"/>
      <c r="U218" s="31" t="s">
        <v>1857</v>
      </c>
      <c r="V218" s="5"/>
      <c r="W218" s="40">
        <v>1</v>
      </c>
      <c r="X218" s="41" t="s">
        <v>374</v>
      </c>
      <c r="Y218" s="42" t="s">
        <v>256</v>
      </c>
      <c r="Z218" s="35">
        <v>0</v>
      </c>
      <c r="AA218" s="31" t="s">
        <v>1860</v>
      </c>
      <c r="AB218" s="31" t="s">
        <v>1861</v>
      </c>
      <c r="AC218" s="5" t="s">
        <v>52</v>
      </c>
      <c r="AD218" s="31" t="s">
        <v>238</v>
      </c>
      <c r="AE218" s="36" t="s">
        <v>1862</v>
      </c>
      <c r="AF218" s="31" t="s">
        <v>1861</v>
      </c>
      <c r="AG218" s="31"/>
      <c r="AH218" s="31"/>
      <c r="AI218" s="31" t="s">
        <v>1863</v>
      </c>
      <c r="AJ218" s="31" t="s">
        <v>241</v>
      </c>
      <c r="AK218" s="31" t="s">
        <v>238</v>
      </c>
      <c r="AL218" s="31"/>
      <c r="AM218" s="31"/>
      <c r="AN218" s="31"/>
      <c r="AO218" s="31"/>
      <c r="AP218" s="31"/>
      <c r="AQ218" s="31"/>
      <c r="AR218" s="31" t="s">
        <v>1705</v>
      </c>
      <c r="AS218" s="30">
        <v>81</v>
      </c>
      <c r="AT218" s="37"/>
      <c r="AU218" s="37"/>
      <c r="AV218" s="37"/>
      <c r="AW218" s="37"/>
      <c r="AX218" s="37"/>
      <c r="AY218" s="38"/>
      <c r="AZ218" s="38"/>
      <c r="BA218" s="38"/>
      <c r="BB218" s="46"/>
      <c r="BC218" s="37">
        <v>75</v>
      </c>
      <c r="BD218" s="37"/>
      <c r="BE218" s="5"/>
      <c r="BF218" s="5"/>
      <c r="BG218" s="31" t="s">
        <v>1864</v>
      </c>
      <c r="BH218" s="31" t="s">
        <v>1864</v>
      </c>
      <c r="BI218" s="31" t="s">
        <v>1864</v>
      </c>
      <c r="BJ218" s="48"/>
      <c r="BK218" s="49">
        <v>3</v>
      </c>
    </row>
    <row x14ac:dyDescent="0.25" r="219" customHeight="1" ht="31.5">
      <c r="A219" s="30">
        <v>12005</v>
      </c>
      <c r="B219" s="5" t="s">
        <v>1865</v>
      </c>
      <c r="C219" s="31" t="s">
        <v>1866</v>
      </c>
      <c r="D219" s="31" t="s">
        <v>1867</v>
      </c>
      <c r="E219" s="5"/>
      <c r="F219" s="5" t="s">
        <v>226</v>
      </c>
      <c r="G219" s="5" t="s">
        <v>1329</v>
      </c>
      <c r="H219" s="31" t="s">
        <v>1868</v>
      </c>
      <c r="I219" s="32"/>
      <c r="J219" s="32"/>
      <c r="K219" s="5" t="s">
        <v>1869</v>
      </c>
      <c r="L219" s="5"/>
      <c r="M219" s="5" t="s">
        <v>231</v>
      </c>
      <c r="N219" s="5" t="s">
        <v>250</v>
      </c>
      <c r="O219" s="33"/>
      <c r="P219" s="5"/>
      <c r="Q219" s="1" t="s">
        <v>233</v>
      </c>
      <c r="R219" s="31"/>
      <c r="S219" s="31"/>
      <c r="T219" s="31" t="s">
        <v>1870</v>
      </c>
      <c r="U219" s="31" t="s">
        <v>1005</v>
      </c>
      <c r="V219" s="5"/>
      <c r="W219" s="34">
        <v>1</v>
      </c>
      <c r="X219" s="31" t="s">
        <v>374</v>
      </c>
      <c r="Y219" s="5" t="s">
        <v>256</v>
      </c>
      <c r="Z219" s="35">
        <v>0</v>
      </c>
      <c r="AA219" s="31" t="s">
        <v>1871</v>
      </c>
      <c r="AB219" s="31" t="s">
        <v>534</v>
      </c>
      <c r="AC219" s="5" t="s">
        <v>52</v>
      </c>
      <c r="AD219" s="31" t="s">
        <v>238</v>
      </c>
      <c r="AE219" s="36" t="s">
        <v>1872</v>
      </c>
      <c r="AF219" s="31" t="s">
        <v>534</v>
      </c>
      <c r="AG219" s="31"/>
      <c r="AH219" s="31"/>
      <c r="AI219" s="31"/>
      <c r="AJ219" s="31" t="s">
        <v>241</v>
      </c>
      <c r="AK219" s="31" t="s">
        <v>238</v>
      </c>
      <c r="AL219" s="31"/>
      <c r="AM219" s="31"/>
      <c r="AN219" s="31"/>
      <c r="AO219" s="31"/>
      <c r="AP219" s="31"/>
      <c r="AQ219" s="31"/>
      <c r="AR219" s="31"/>
      <c r="AS219" s="30">
        <v>143</v>
      </c>
      <c r="AT219" s="37"/>
      <c r="AU219" s="37"/>
      <c r="AV219" s="37"/>
      <c r="AW219" s="37"/>
      <c r="AX219" s="37"/>
      <c r="AY219" s="38"/>
      <c r="AZ219" s="38"/>
      <c r="BA219" s="38"/>
      <c r="BB219" s="1"/>
      <c r="BC219" s="37">
        <v>76</v>
      </c>
      <c r="BD219" s="37"/>
      <c r="BE219" s="5"/>
      <c r="BF219" s="5"/>
      <c r="BG219" s="31" t="s">
        <v>1873</v>
      </c>
      <c r="BH219" s="31" t="s">
        <v>1873</v>
      </c>
      <c r="BI219" s="31" t="s">
        <v>1873</v>
      </c>
      <c r="BJ219" s="31"/>
      <c r="BK219" s="30">
        <v>3</v>
      </c>
    </row>
    <row x14ac:dyDescent="0.25" r="220" customHeight="1" ht="31.5">
      <c r="A220" s="30">
        <v>10104</v>
      </c>
      <c r="B220" s="5" t="s">
        <v>1874</v>
      </c>
      <c r="C220" s="31" t="s">
        <v>1875</v>
      </c>
      <c r="D220" s="31" t="s">
        <v>1876</v>
      </c>
      <c r="E220" s="5" t="s">
        <v>529</v>
      </c>
      <c r="F220" s="5" t="s">
        <v>226</v>
      </c>
      <c r="G220" s="5" t="s">
        <v>247</v>
      </c>
      <c r="H220" s="31" t="s">
        <v>1877</v>
      </c>
      <c r="I220" s="32"/>
      <c r="J220" s="32"/>
      <c r="K220" s="5" t="s">
        <v>1878</v>
      </c>
      <c r="L220" s="5"/>
      <c r="M220" s="5" t="s">
        <v>231</v>
      </c>
      <c r="N220" s="5" t="s">
        <v>250</v>
      </c>
      <c r="O220" s="33"/>
      <c r="P220" s="5"/>
      <c r="Q220" s="1" t="s">
        <v>233</v>
      </c>
      <c r="R220" s="31" t="s">
        <v>233</v>
      </c>
      <c r="S220" s="31"/>
      <c r="T220" s="31" t="s">
        <v>1879</v>
      </c>
      <c r="U220" s="31" t="s">
        <v>1880</v>
      </c>
      <c r="V220" s="31" t="s">
        <v>1881</v>
      </c>
      <c r="W220" s="40">
        <v>1</v>
      </c>
      <c r="X220" s="41" t="s">
        <v>255</v>
      </c>
      <c r="Y220" s="42" t="s">
        <v>256</v>
      </c>
      <c r="Z220" s="35">
        <v>0</v>
      </c>
      <c r="AA220" s="31" t="s">
        <v>1882</v>
      </c>
      <c r="AB220" s="31" t="s">
        <v>1883</v>
      </c>
      <c r="AC220" s="5" t="s">
        <v>52</v>
      </c>
      <c r="AD220" s="31" t="s">
        <v>238</v>
      </c>
      <c r="AE220" s="36" t="s">
        <v>1872</v>
      </c>
      <c r="AF220" s="31" t="s">
        <v>1883</v>
      </c>
      <c r="AG220" s="31"/>
      <c r="AH220" s="31"/>
      <c r="AI220" s="31"/>
      <c r="AJ220" s="31" t="s">
        <v>241</v>
      </c>
      <c r="AK220" s="31" t="s">
        <v>238</v>
      </c>
      <c r="AL220" s="31"/>
      <c r="AM220" s="31"/>
      <c r="AN220" s="31"/>
      <c r="AO220" s="31"/>
      <c r="AP220" s="31"/>
      <c r="AQ220" s="31"/>
      <c r="AR220" s="31" t="s">
        <v>263</v>
      </c>
      <c r="AS220" s="30"/>
      <c r="AT220" s="37"/>
      <c r="AU220" s="37"/>
      <c r="AV220" s="37"/>
      <c r="AW220" s="37">
        <v>33</v>
      </c>
      <c r="AX220" s="37"/>
      <c r="AY220" s="38"/>
      <c r="AZ220" s="38"/>
      <c r="BA220" s="38"/>
      <c r="BB220" s="46" t="s">
        <v>529</v>
      </c>
      <c r="BC220" s="37">
        <v>79</v>
      </c>
      <c r="BD220" s="37"/>
      <c r="BE220" s="58"/>
      <c r="BF220" s="58"/>
      <c r="BG220" s="47" t="s">
        <v>1884</v>
      </c>
      <c r="BH220" s="47" t="s">
        <v>1885</v>
      </c>
      <c r="BI220" s="47" t="s">
        <v>1886</v>
      </c>
      <c r="BJ220" s="60"/>
      <c r="BK220" s="49">
        <v>3</v>
      </c>
    </row>
    <row x14ac:dyDescent="0.25" r="221" customHeight="1" ht="31.5">
      <c r="A221" s="30" t="s">
        <v>1887</v>
      </c>
      <c r="B221" s="5" t="s">
        <v>1888</v>
      </c>
      <c r="C221" s="31" t="s">
        <v>1889</v>
      </c>
      <c r="D221" s="31" t="s">
        <v>1890</v>
      </c>
      <c r="E221" s="5"/>
      <c r="F221" s="5" t="s">
        <v>602</v>
      </c>
      <c r="G221" s="5" t="s">
        <v>1329</v>
      </c>
      <c r="H221" s="31" t="s">
        <v>1891</v>
      </c>
      <c r="I221" s="32"/>
      <c r="J221" s="32"/>
      <c r="K221" s="5"/>
      <c r="L221" s="5"/>
      <c r="M221" s="5" t="s">
        <v>231</v>
      </c>
      <c r="N221" s="5" t="s">
        <v>579</v>
      </c>
      <c r="O221" s="33"/>
      <c r="P221" s="5"/>
      <c r="Q221" s="1" t="s">
        <v>251</v>
      </c>
      <c r="R221" s="31" t="s">
        <v>252</v>
      </c>
      <c r="S221" s="31"/>
      <c r="T221" s="31"/>
      <c r="U221" s="31" t="s">
        <v>1892</v>
      </c>
      <c r="V221" s="5"/>
      <c r="W221" s="40">
        <v>1</v>
      </c>
      <c r="X221" s="31" t="s">
        <v>581</v>
      </c>
      <c r="Y221" s="42"/>
      <c r="Z221" s="35">
        <v>0</v>
      </c>
      <c r="AA221" s="31" t="s">
        <v>1893</v>
      </c>
      <c r="AB221" s="31" t="s">
        <v>1894</v>
      </c>
      <c r="AC221" s="5" t="s">
        <v>88</v>
      </c>
      <c r="AD221" s="31" t="s">
        <v>238</v>
      </c>
      <c r="AE221" s="36" t="s">
        <v>1862</v>
      </c>
      <c r="AF221" s="31" t="s">
        <v>1894</v>
      </c>
      <c r="AG221" s="31"/>
      <c r="AH221" s="31"/>
      <c r="AI221" s="31" t="s">
        <v>1863</v>
      </c>
      <c r="AJ221" s="31" t="s">
        <v>241</v>
      </c>
      <c r="AK221" s="31" t="s">
        <v>238</v>
      </c>
      <c r="AL221" s="31"/>
      <c r="AM221" s="31"/>
      <c r="AN221" s="31"/>
      <c r="AO221" s="31"/>
      <c r="AP221" s="31"/>
      <c r="AQ221" s="31"/>
      <c r="AR221" s="31" t="s">
        <v>243</v>
      </c>
      <c r="AS221" s="30">
        <v>49</v>
      </c>
      <c r="AT221" s="37"/>
      <c r="AU221" s="37"/>
      <c r="AV221" s="37"/>
      <c r="AW221" s="37"/>
      <c r="AX221" s="37"/>
      <c r="AY221" s="38"/>
      <c r="AZ221" s="38"/>
      <c r="BA221" s="38"/>
      <c r="BB221" s="46"/>
      <c r="BC221" s="195">
        <v>47</v>
      </c>
      <c r="BD221" s="37"/>
      <c r="BE221" s="5"/>
      <c r="BF221" s="5"/>
      <c r="BG221" s="47" t="s">
        <v>1895</v>
      </c>
      <c r="BH221" s="47" t="s">
        <v>1896</v>
      </c>
      <c r="BI221" s="47" t="s">
        <v>1895</v>
      </c>
      <c r="BJ221" s="60"/>
      <c r="BK221" s="30">
        <v>3</v>
      </c>
    </row>
    <row x14ac:dyDescent="0.25" r="222" customHeight="1" ht="31.5">
      <c r="A222" s="50">
        <v>10142</v>
      </c>
      <c r="B222" s="155" t="s">
        <v>1897</v>
      </c>
      <c r="C222" s="51" t="s">
        <v>1898</v>
      </c>
      <c r="D222" s="51" t="s">
        <v>1899</v>
      </c>
      <c r="E222" s="155" t="s">
        <v>529</v>
      </c>
      <c r="F222" s="155" t="s">
        <v>577</v>
      </c>
      <c r="G222" s="155" t="s">
        <v>975</v>
      </c>
      <c r="H222" s="51" t="s">
        <v>1900</v>
      </c>
      <c r="I222" s="32"/>
      <c r="J222" s="32"/>
      <c r="K222" s="5" t="s">
        <v>1901</v>
      </c>
      <c r="L222" s="5"/>
      <c r="M222" s="5" t="s">
        <v>231</v>
      </c>
      <c r="N222" s="5" t="s">
        <v>232</v>
      </c>
      <c r="O222" s="33"/>
      <c r="P222" s="5"/>
      <c r="Q222" s="1" t="s">
        <v>233</v>
      </c>
      <c r="R222" s="31" t="s">
        <v>233</v>
      </c>
      <c r="S222" s="31"/>
      <c r="T222" s="31"/>
      <c r="U222" s="31" t="s">
        <v>1902</v>
      </c>
      <c r="V222" s="5"/>
      <c r="W222" s="40">
        <v>1</v>
      </c>
      <c r="X222" s="41" t="s">
        <v>273</v>
      </c>
      <c r="Y222" s="42" t="s">
        <v>758</v>
      </c>
      <c r="Z222" s="35">
        <v>0</v>
      </c>
      <c r="AA222" s="31" t="s">
        <v>1899</v>
      </c>
      <c r="AB222" s="31" t="s">
        <v>1903</v>
      </c>
      <c r="AC222" s="5" t="s">
        <v>38</v>
      </c>
      <c r="AD222" s="31" t="s">
        <v>238</v>
      </c>
      <c r="AE222" s="36" t="s">
        <v>982</v>
      </c>
      <c r="AF222" s="31" t="s">
        <v>292</v>
      </c>
      <c r="AG222" s="31" t="s">
        <v>17</v>
      </c>
      <c r="AH222" s="31" t="s">
        <v>27</v>
      </c>
      <c r="AI222" s="31"/>
      <c r="AJ222" s="31" t="s">
        <v>241</v>
      </c>
      <c r="AK222" s="31" t="s">
        <v>238</v>
      </c>
      <c r="AL222" s="31"/>
      <c r="AM222" s="31"/>
      <c r="AN222" s="31"/>
      <c r="AO222" s="31"/>
      <c r="AP222" s="31"/>
      <c r="AQ222" s="31"/>
      <c r="AR222" s="31" t="s">
        <v>263</v>
      </c>
      <c r="AS222" s="30">
        <v>97</v>
      </c>
      <c r="AT222" s="37"/>
      <c r="AU222" s="37"/>
      <c r="AV222" s="37"/>
      <c r="AW222" s="37"/>
      <c r="AX222" s="37"/>
      <c r="AY222" s="38"/>
      <c r="AZ222" s="38"/>
      <c r="BA222" s="38"/>
      <c r="BB222" s="46" t="s">
        <v>529</v>
      </c>
      <c r="BC222" s="37">
        <v>80</v>
      </c>
      <c r="BD222" s="37"/>
      <c r="BE222" s="5"/>
      <c r="BF222" s="5"/>
      <c r="BG222" s="47" t="s">
        <v>1904</v>
      </c>
      <c r="BH222" s="47" t="s">
        <v>1905</v>
      </c>
      <c r="BI222" s="47" t="s">
        <v>1904</v>
      </c>
      <c r="BJ222" s="60"/>
      <c r="BK222" s="49">
        <v>3</v>
      </c>
    </row>
    <row x14ac:dyDescent="0.25" r="223" customHeight="1" ht="60">
      <c r="A223" s="50">
        <v>10146</v>
      </c>
      <c r="B223" s="155" t="s">
        <v>1906</v>
      </c>
      <c r="C223" s="51" t="s">
        <v>1907</v>
      </c>
      <c r="D223" s="51" t="s">
        <v>1908</v>
      </c>
      <c r="E223" s="155" t="s">
        <v>529</v>
      </c>
      <c r="F223" s="155" t="s">
        <v>577</v>
      </c>
      <c r="G223" s="155" t="s">
        <v>975</v>
      </c>
      <c r="H223" s="51" t="s">
        <v>1909</v>
      </c>
      <c r="I223" s="196"/>
      <c r="J223" s="196"/>
      <c r="K223" s="92" t="s">
        <v>1910</v>
      </c>
      <c r="L223" s="5"/>
      <c r="M223" s="5" t="s">
        <v>231</v>
      </c>
      <c r="N223" s="5" t="s">
        <v>232</v>
      </c>
      <c r="O223" s="33"/>
      <c r="P223" s="5"/>
      <c r="Q223" s="1" t="s">
        <v>233</v>
      </c>
      <c r="R223" s="31" t="s">
        <v>233</v>
      </c>
      <c r="S223" s="31"/>
      <c r="T223" s="52" t="s">
        <v>1911</v>
      </c>
      <c r="U223" s="31" t="s">
        <v>1912</v>
      </c>
      <c r="V223" s="5"/>
      <c r="W223" s="34">
        <v>1</v>
      </c>
      <c r="X223" s="31" t="s">
        <v>273</v>
      </c>
      <c r="Y223" s="5" t="s">
        <v>1913</v>
      </c>
      <c r="Z223" s="35">
        <v>0</v>
      </c>
      <c r="AA223" s="52" t="s">
        <v>1914</v>
      </c>
      <c r="AB223" s="52" t="s">
        <v>1915</v>
      </c>
      <c r="AC223" s="5" t="s">
        <v>38</v>
      </c>
      <c r="AD223" s="31" t="s">
        <v>238</v>
      </c>
      <c r="AE223" s="36" t="s">
        <v>982</v>
      </c>
      <c r="AF223" s="31" t="s">
        <v>292</v>
      </c>
      <c r="AG223" s="31" t="s">
        <v>123</v>
      </c>
      <c r="AH223" s="31" t="s">
        <v>55</v>
      </c>
      <c r="AI223" s="31"/>
      <c r="AJ223" s="31" t="s">
        <v>241</v>
      </c>
      <c r="AK223" s="31" t="s">
        <v>238</v>
      </c>
      <c r="AL223" s="31"/>
      <c r="AM223" s="31"/>
      <c r="AN223" s="31"/>
      <c r="AO223" s="31"/>
      <c r="AP223" s="31"/>
      <c r="AQ223" s="31"/>
      <c r="AR223" s="31" t="s">
        <v>263</v>
      </c>
      <c r="AS223" s="30">
        <v>72</v>
      </c>
      <c r="AT223" s="37"/>
      <c r="AU223" s="37"/>
      <c r="AV223" s="37"/>
      <c r="AW223" s="37"/>
      <c r="AX223" s="37"/>
      <c r="AY223" s="38"/>
      <c r="AZ223" s="38"/>
      <c r="BA223" s="38"/>
      <c r="BB223" s="46" t="s">
        <v>529</v>
      </c>
      <c r="BC223" s="37">
        <v>84</v>
      </c>
      <c r="BD223" s="37"/>
      <c r="BE223" s="5"/>
      <c r="BF223" s="5"/>
      <c r="BG223" s="47" t="s">
        <v>1916</v>
      </c>
      <c r="BH223" s="47" t="s">
        <v>1917</v>
      </c>
      <c r="BI223" s="47" t="s">
        <v>1916</v>
      </c>
      <c r="BJ223" s="60"/>
      <c r="BK223" s="30">
        <v>3</v>
      </c>
    </row>
    <row x14ac:dyDescent="0.25" r="224" customHeight="1" ht="31.5">
      <c r="A224" s="30">
        <v>12003</v>
      </c>
      <c r="B224" s="5" t="s">
        <v>1918</v>
      </c>
      <c r="C224" s="31" t="s">
        <v>1919</v>
      </c>
      <c r="D224" s="31" t="s">
        <v>1920</v>
      </c>
      <c r="E224" s="5"/>
      <c r="F224" s="5" t="s">
        <v>226</v>
      </c>
      <c r="G224" s="5" t="s">
        <v>1329</v>
      </c>
      <c r="H224" s="31" t="s">
        <v>1921</v>
      </c>
      <c r="I224" s="32"/>
      <c r="J224" s="32"/>
      <c r="K224" s="5"/>
      <c r="L224" s="5"/>
      <c r="M224" s="5" t="s">
        <v>231</v>
      </c>
      <c r="N224" s="5" t="s">
        <v>232</v>
      </c>
      <c r="O224" s="33"/>
      <c r="P224" s="5"/>
      <c r="Q224" s="1" t="s">
        <v>233</v>
      </c>
      <c r="R224" s="31"/>
      <c r="S224" s="31"/>
      <c r="T224" s="31" t="s">
        <v>1922</v>
      </c>
      <c r="U224" s="31" t="s">
        <v>1923</v>
      </c>
      <c r="V224" s="5"/>
      <c r="W224" s="34">
        <v>1</v>
      </c>
      <c r="X224" s="31" t="s">
        <v>273</v>
      </c>
      <c r="Y224" s="5" t="s">
        <v>256</v>
      </c>
      <c r="Z224" s="35">
        <v>0</v>
      </c>
      <c r="AA224" s="31" t="s">
        <v>1924</v>
      </c>
      <c r="AB224" s="31" t="s">
        <v>1925</v>
      </c>
      <c r="AC224" s="5" t="s">
        <v>52</v>
      </c>
      <c r="AD224" s="31" t="s">
        <v>238</v>
      </c>
      <c r="AE224" s="36" t="s">
        <v>1926</v>
      </c>
      <c r="AF224" s="31" t="s">
        <v>1925</v>
      </c>
      <c r="AG224" s="31"/>
      <c r="AH224" s="31"/>
      <c r="AI224" s="31"/>
      <c r="AJ224" s="31" t="s">
        <v>241</v>
      </c>
      <c r="AK224" s="31" t="s">
        <v>238</v>
      </c>
      <c r="AL224" s="31"/>
      <c r="AM224" s="31"/>
      <c r="AN224" s="31"/>
      <c r="AO224" s="31"/>
      <c r="AP224" s="31"/>
      <c r="AQ224" s="31"/>
      <c r="AR224" s="31" t="s">
        <v>1705</v>
      </c>
      <c r="AS224" s="30">
        <v>70</v>
      </c>
      <c r="AT224" s="37"/>
      <c r="AU224" s="37"/>
      <c r="AV224" s="37"/>
      <c r="AW224" s="37"/>
      <c r="AX224" s="37"/>
      <c r="AY224" s="38"/>
      <c r="AZ224" s="38"/>
      <c r="BA224" s="38"/>
      <c r="BB224" s="46"/>
      <c r="BC224" s="37">
        <v>89</v>
      </c>
      <c r="BD224" s="37"/>
      <c r="BE224" s="5"/>
      <c r="BF224" s="5"/>
      <c r="BG224" s="31" t="s">
        <v>1919</v>
      </c>
      <c r="BH224" s="31" t="s">
        <v>1919</v>
      </c>
      <c r="BI224" s="31" t="s">
        <v>1919</v>
      </c>
      <c r="BJ224" s="48"/>
      <c r="BK224" s="49">
        <v>3</v>
      </c>
    </row>
    <row x14ac:dyDescent="0.25" r="225" customHeight="1" ht="31.5">
      <c r="A225" s="30"/>
      <c r="B225" s="5" t="s">
        <v>1927</v>
      </c>
      <c r="C225" s="31" t="s">
        <v>1928</v>
      </c>
      <c r="D225" s="31"/>
      <c r="E225" s="5" t="s">
        <v>529</v>
      </c>
      <c r="F225" s="5" t="s">
        <v>226</v>
      </c>
      <c r="G225" s="31" t="s">
        <v>227</v>
      </c>
      <c r="H225" s="31" t="s">
        <v>1929</v>
      </c>
      <c r="I225" s="32" t="s">
        <v>386</v>
      </c>
      <c r="J225" s="32" t="s">
        <v>386</v>
      </c>
      <c r="K225" s="31"/>
      <c r="L225" s="31"/>
      <c r="M225" s="31" t="s">
        <v>231</v>
      </c>
      <c r="N225" s="31" t="s">
        <v>232</v>
      </c>
      <c r="O225" s="33"/>
      <c r="P225" s="5"/>
      <c r="Q225" s="1" t="s">
        <v>233</v>
      </c>
      <c r="R225" s="31"/>
      <c r="S225" s="31"/>
      <c r="T225" s="31"/>
      <c r="U225" s="31" t="s">
        <v>1930</v>
      </c>
      <c r="V225" s="5"/>
      <c r="W225" s="34">
        <v>1</v>
      </c>
      <c r="X225" s="31" t="s">
        <v>235</v>
      </c>
      <c r="Y225" s="5" t="s">
        <v>288</v>
      </c>
      <c r="Z225" s="35">
        <v>0</v>
      </c>
      <c r="AA225" s="31"/>
      <c r="AB225" s="31" t="s">
        <v>1931</v>
      </c>
      <c r="AC225" s="5" t="s">
        <v>52</v>
      </c>
      <c r="AD225" s="31" t="s">
        <v>238</v>
      </c>
      <c r="AE225" s="36" t="s">
        <v>1007</v>
      </c>
      <c r="AF225" s="31" t="s">
        <v>1931</v>
      </c>
      <c r="AG225" s="31"/>
      <c r="AH225" s="31"/>
      <c r="AI225" s="31"/>
      <c r="AJ225" s="31" t="s">
        <v>241</v>
      </c>
      <c r="AK225" s="31" t="s">
        <v>238</v>
      </c>
      <c r="AL225" s="31"/>
      <c r="AM225" s="31"/>
      <c r="AN225" s="31"/>
      <c r="AO225" s="31"/>
      <c r="AP225" s="31"/>
      <c r="AQ225" s="31"/>
      <c r="AR225" s="31" t="s">
        <v>243</v>
      </c>
      <c r="AS225" s="30">
        <v>71</v>
      </c>
      <c r="AT225" s="37"/>
      <c r="AU225" s="37"/>
      <c r="AV225" s="37"/>
      <c r="AW225" s="37"/>
      <c r="AX225" s="37"/>
      <c r="AY225" s="38"/>
      <c r="AZ225" s="38"/>
      <c r="BA225" s="38"/>
      <c r="BB225" s="46" t="s">
        <v>529</v>
      </c>
      <c r="BC225" s="37">
        <v>86</v>
      </c>
      <c r="BD225" s="37"/>
      <c r="BE225" s="5"/>
      <c r="BF225" s="5"/>
      <c r="BG225" s="31" t="s">
        <v>1932</v>
      </c>
      <c r="BH225" s="31" t="s">
        <v>1932</v>
      </c>
      <c r="BI225" s="31" t="s">
        <v>1932</v>
      </c>
      <c r="BJ225" s="48"/>
      <c r="BK225" s="30">
        <v>3</v>
      </c>
    </row>
    <row x14ac:dyDescent="0.25" r="226" customHeight="1" ht="31.5">
      <c r="A226" s="30" t="s">
        <v>1933</v>
      </c>
      <c r="B226" s="5" t="s">
        <v>1934</v>
      </c>
      <c r="C226" s="31" t="s">
        <v>1935</v>
      </c>
      <c r="D226" s="31" t="s">
        <v>1936</v>
      </c>
      <c r="E226" s="5" t="s">
        <v>529</v>
      </c>
      <c r="F226" s="5" t="s">
        <v>282</v>
      </c>
      <c r="G226" s="5" t="s">
        <v>1329</v>
      </c>
      <c r="H226" s="31" t="s">
        <v>1937</v>
      </c>
      <c r="I226" s="32"/>
      <c r="J226" s="32"/>
      <c r="K226" s="5"/>
      <c r="L226" s="5"/>
      <c r="M226" s="5" t="s">
        <v>231</v>
      </c>
      <c r="N226" s="5" t="s">
        <v>232</v>
      </c>
      <c r="O226" s="33"/>
      <c r="P226" s="5"/>
      <c r="Q226" s="1" t="s">
        <v>251</v>
      </c>
      <c r="R226" s="31" t="s">
        <v>252</v>
      </c>
      <c r="S226" s="31"/>
      <c r="T226" s="31"/>
      <c r="U226" s="31" t="s">
        <v>1938</v>
      </c>
      <c r="V226" s="31" t="s">
        <v>1939</v>
      </c>
      <c r="W226" s="40">
        <v>1</v>
      </c>
      <c r="X226" s="31" t="s">
        <v>581</v>
      </c>
      <c r="Y226" s="42"/>
      <c r="Z226" s="20" t="s">
        <v>1068</v>
      </c>
      <c r="AA226" s="31" t="s">
        <v>1936</v>
      </c>
      <c r="AB226" s="31" t="s">
        <v>1940</v>
      </c>
      <c r="AC226" s="5" t="s">
        <v>64</v>
      </c>
      <c r="AD226" s="5" t="s">
        <v>259</v>
      </c>
      <c r="AE226" s="36" t="s">
        <v>1744</v>
      </c>
      <c r="AF226" s="31" t="s">
        <v>1940</v>
      </c>
      <c r="AG226" s="31"/>
      <c r="AH226" s="31"/>
      <c r="AI226" s="31"/>
      <c r="AJ226" s="31" t="s">
        <v>262</v>
      </c>
      <c r="AK226" s="31" t="s">
        <v>259</v>
      </c>
      <c r="AL226" s="31"/>
      <c r="AM226" s="31"/>
      <c r="AN226" s="31"/>
      <c r="AO226" s="31"/>
      <c r="AP226" s="31"/>
      <c r="AQ226" s="31"/>
      <c r="AR226" s="31" t="s">
        <v>1705</v>
      </c>
      <c r="AS226" s="30">
        <v>64</v>
      </c>
      <c r="AT226" s="37"/>
      <c r="AU226" s="37"/>
      <c r="AV226" s="37"/>
      <c r="AW226" s="37"/>
      <c r="AX226" s="37"/>
      <c r="AY226" s="38"/>
      <c r="AZ226" s="38"/>
      <c r="BA226" s="38"/>
      <c r="BB226" s="46" t="s">
        <v>529</v>
      </c>
      <c r="BC226" s="37">
        <v>87</v>
      </c>
      <c r="BD226" s="37"/>
      <c r="BE226" s="5"/>
      <c r="BF226" s="5"/>
      <c r="BG226" s="47" t="s">
        <v>1941</v>
      </c>
      <c r="BH226" s="47" t="s">
        <v>1942</v>
      </c>
      <c r="BI226" s="47" t="s">
        <v>1943</v>
      </c>
      <c r="BJ226" s="60"/>
      <c r="BK226" s="49">
        <v>3</v>
      </c>
    </row>
    <row x14ac:dyDescent="0.25" r="227" customHeight="1" ht="31.5">
      <c r="A227" s="30" t="s">
        <v>386</v>
      </c>
      <c r="B227" s="1" t="s">
        <v>778</v>
      </c>
      <c r="C227" s="31" t="s">
        <v>1944</v>
      </c>
      <c r="D227" s="31" t="s">
        <v>780</v>
      </c>
      <c r="E227" s="5"/>
      <c r="F227" s="5" t="s">
        <v>1945</v>
      </c>
      <c r="G227" s="5" t="s">
        <v>386</v>
      </c>
      <c r="H227" s="31" t="s">
        <v>386</v>
      </c>
      <c r="I227" s="31" t="s">
        <v>386</v>
      </c>
      <c r="J227" s="31" t="s">
        <v>386</v>
      </c>
      <c r="K227" s="62"/>
      <c r="L227" s="62"/>
      <c r="M227" s="5" t="s">
        <v>231</v>
      </c>
      <c r="N227" s="5" t="s">
        <v>386</v>
      </c>
      <c r="O227" s="33" t="s">
        <v>386</v>
      </c>
      <c r="P227" s="5" t="s">
        <v>386</v>
      </c>
      <c r="Q227" s="5" t="s">
        <v>386</v>
      </c>
      <c r="R227" s="31" t="s">
        <v>755</v>
      </c>
      <c r="S227" s="31" t="s">
        <v>386</v>
      </c>
      <c r="T227" s="31"/>
      <c r="U227" s="31"/>
      <c r="V227" s="5"/>
      <c r="W227" s="134"/>
      <c r="X227" s="41"/>
      <c r="Y227" s="42"/>
      <c r="Z227" s="20"/>
      <c r="AA227" s="31"/>
      <c r="AB227" s="52" t="s">
        <v>1946</v>
      </c>
      <c r="AC227" s="5" t="s">
        <v>24</v>
      </c>
      <c r="AD227" s="31" t="s">
        <v>259</v>
      </c>
      <c r="AE227" s="36" t="s">
        <v>1947</v>
      </c>
      <c r="AF227" s="31" t="s">
        <v>1948</v>
      </c>
      <c r="AG227" s="31"/>
      <c r="AH227" s="31"/>
      <c r="AI227" s="31"/>
      <c r="AJ227" s="31"/>
      <c r="AK227" s="31"/>
      <c r="AL227" s="31"/>
      <c r="AM227" s="31"/>
      <c r="AN227" s="31"/>
      <c r="AO227" s="31"/>
      <c r="AP227" s="31"/>
      <c r="AQ227" s="31"/>
      <c r="AR227" s="31" t="s">
        <v>243</v>
      </c>
      <c r="AS227" s="30"/>
      <c r="AT227" s="37"/>
      <c r="AU227" s="37"/>
      <c r="AV227" s="37"/>
      <c r="AW227" s="37"/>
      <c r="AX227" s="37"/>
      <c r="AY227" s="38"/>
      <c r="AZ227" s="38"/>
      <c r="BA227" s="38"/>
      <c r="BB227" s="46"/>
      <c r="BC227" s="37">
        <v>90</v>
      </c>
      <c r="BD227" s="37"/>
      <c r="BE227" s="5"/>
      <c r="BF227" s="5"/>
      <c r="BG227" s="31"/>
      <c r="BH227" s="31" t="s">
        <v>1949</v>
      </c>
      <c r="BI227" s="31" t="s">
        <v>1949</v>
      </c>
      <c r="BJ227" s="48"/>
      <c r="BK227" s="49">
        <v>2</v>
      </c>
    </row>
    <row x14ac:dyDescent="0.25" r="228" customHeight="1" ht="31.5">
      <c r="A228" s="30" t="s">
        <v>1950</v>
      </c>
      <c r="B228" s="5" t="s">
        <v>1951</v>
      </c>
      <c r="C228" s="31" t="s">
        <v>1952</v>
      </c>
      <c r="D228" s="31" t="s">
        <v>1952</v>
      </c>
      <c r="E228" s="5"/>
      <c r="F228" s="5" t="s">
        <v>1953</v>
      </c>
      <c r="G228" s="5" t="s">
        <v>1329</v>
      </c>
      <c r="H228" s="31" t="s">
        <v>1954</v>
      </c>
      <c r="I228" s="32"/>
      <c r="J228" s="32"/>
      <c r="K228" s="5"/>
      <c r="L228" s="5"/>
      <c r="M228" s="5" t="s">
        <v>231</v>
      </c>
      <c r="N228" s="5"/>
      <c r="O228" s="33"/>
      <c r="P228" s="5"/>
      <c r="Q228" s="1" t="s">
        <v>251</v>
      </c>
      <c r="R228" s="31"/>
      <c r="S228" s="31"/>
      <c r="T228" s="31"/>
      <c r="U228" s="31" t="s">
        <v>1955</v>
      </c>
      <c r="V228" s="5"/>
      <c r="W228" s="40">
        <v>0</v>
      </c>
      <c r="X228" s="41" t="s">
        <v>386</v>
      </c>
      <c r="Y228" s="42"/>
      <c r="Z228" s="38" t="s">
        <v>386</v>
      </c>
      <c r="AA228" s="31" t="s">
        <v>1952</v>
      </c>
      <c r="AB228" s="31" t="s">
        <v>1956</v>
      </c>
      <c r="AC228" s="5" t="s">
        <v>24</v>
      </c>
      <c r="AD228" s="5" t="s">
        <v>259</v>
      </c>
      <c r="AE228" s="169" t="s">
        <v>1957</v>
      </c>
      <c r="AF228" s="5" t="s">
        <v>292</v>
      </c>
      <c r="AG228" s="5" t="s">
        <v>21</v>
      </c>
      <c r="AH228" s="5"/>
      <c r="AI228" s="5"/>
      <c r="AJ228" s="5" t="s">
        <v>262</v>
      </c>
      <c r="AK228" s="5" t="s">
        <v>259</v>
      </c>
      <c r="AL228" s="31"/>
      <c r="AM228" s="31"/>
      <c r="AN228" s="31"/>
      <c r="AO228" s="31"/>
      <c r="AP228" s="31"/>
      <c r="AQ228" s="31"/>
      <c r="AR228" s="31" t="s">
        <v>1958</v>
      </c>
      <c r="AS228" s="30">
        <v>124</v>
      </c>
      <c r="AT228" s="37"/>
      <c r="AU228" s="37"/>
      <c r="AV228" s="37"/>
      <c r="AW228" s="37"/>
      <c r="AX228" s="37"/>
      <c r="AY228" s="38"/>
      <c r="AZ228" s="38"/>
      <c r="BA228" s="38"/>
      <c r="BB228" s="46"/>
      <c r="BC228" s="37"/>
      <c r="BD228" s="37"/>
      <c r="BE228" s="5"/>
      <c r="BF228" s="5"/>
      <c r="BG228" s="31"/>
      <c r="BH228" s="31"/>
      <c r="BI228" s="31"/>
      <c r="BJ228" s="48"/>
      <c r="BK228" s="49">
        <v>2</v>
      </c>
    </row>
    <row x14ac:dyDescent="0.25" r="229" customHeight="1" ht="31.5">
      <c r="A229" s="30" t="s">
        <v>386</v>
      </c>
      <c r="B229" s="1" t="s">
        <v>778</v>
      </c>
      <c r="C229" s="31" t="s">
        <v>1959</v>
      </c>
      <c r="D229" s="31" t="s">
        <v>780</v>
      </c>
      <c r="E229" s="5"/>
      <c r="F229" s="5" t="s">
        <v>1945</v>
      </c>
      <c r="G229" s="5" t="s">
        <v>386</v>
      </c>
      <c r="H229" s="31" t="s">
        <v>386</v>
      </c>
      <c r="I229" s="31" t="s">
        <v>386</v>
      </c>
      <c r="J229" s="31" t="s">
        <v>386</v>
      </c>
      <c r="K229" s="62"/>
      <c r="L229" s="62"/>
      <c r="M229" s="5" t="s">
        <v>231</v>
      </c>
      <c r="N229" s="5" t="s">
        <v>386</v>
      </c>
      <c r="O229" s="33" t="s">
        <v>386</v>
      </c>
      <c r="P229" s="5" t="s">
        <v>386</v>
      </c>
      <c r="Q229" s="5" t="s">
        <v>386</v>
      </c>
      <c r="R229" s="31" t="s">
        <v>755</v>
      </c>
      <c r="S229" s="31" t="s">
        <v>386</v>
      </c>
      <c r="T229" s="31"/>
      <c r="U229" s="31"/>
      <c r="V229" s="5"/>
      <c r="W229" s="134"/>
      <c r="X229" s="41"/>
      <c r="Y229" s="42"/>
      <c r="Z229" s="20"/>
      <c r="AA229" s="31"/>
      <c r="AB229" s="52" t="s">
        <v>1960</v>
      </c>
      <c r="AC229" s="5" t="s">
        <v>38</v>
      </c>
      <c r="AD229" s="31" t="s">
        <v>259</v>
      </c>
      <c r="AE229" s="36" t="s">
        <v>1947</v>
      </c>
      <c r="AF229" s="31" t="s">
        <v>1961</v>
      </c>
      <c r="AG229" s="31"/>
      <c r="AH229" s="31"/>
      <c r="AI229" s="31"/>
      <c r="AJ229" s="31"/>
      <c r="AK229" s="31"/>
      <c r="AL229" s="31"/>
      <c r="AM229" s="31"/>
      <c r="AN229" s="31"/>
      <c r="AO229" s="31"/>
      <c r="AP229" s="31"/>
      <c r="AQ229" s="31"/>
      <c r="AR229" s="31" t="s">
        <v>243</v>
      </c>
      <c r="AS229" s="30"/>
      <c r="AT229" s="37"/>
      <c r="AU229" s="37"/>
      <c r="AV229" s="37"/>
      <c r="AW229" s="37"/>
      <c r="AX229" s="37"/>
      <c r="AY229" s="38"/>
      <c r="AZ229" s="38"/>
      <c r="BA229" s="38"/>
      <c r="BB229" s="46"/>
      <c r="BC229" s="37">
        <v>91</v>
      </c>
      <c r="BD229" s="37"/>
      <c r="BE229" s="5"/>
      <c r="BF229" s="5"/>
      <c r="BG229" s="31"/>
      <c r="BH229" s="31" t="s">
        <v>1962</v>
      </c>
      <c r="BI229" s="31" t="s">
        <v>1962</v>
      </c>
      <c r="BJ229" s="48"/>
      <c r="BK229" s="49">
        <v>2</v>
      </c>
    </row>
    <row x14ac:dyDescent="0.25" r="230" customHeight="1" ht="31.5">
      <c r="A230" s="30" t="s">
        <v>386</v>
      </c>
      <c r="B230" s="1" t="s">
        <v>778</v>
      </c>
      <c r="C230" s="5" t="s">
        <v>1963</v>
      </c>
      <c r="D230" s="31" t="s">
        <v>780</v>
      </c>
      <c r="E230" s="5"/>
      <c r="F230" s="5" t="s">
        <v>1945</v>
      </c>
      <c r="G230" s="5" t="s">
        <v>386</v>
      </c>
      <c r="H230" s="31" t="s">
        <v>386</v>
      </c>
      <c r="I230" s="31" t="s">
        <v>386</v>
      </c>
      <c r="J230" s="31" t="s">
        <v>386</v>
      </c>
      <c r="K230" s="62"/>
      <c r="L230" s="62"/>
      <c r="M230" s="5" t="s">
        <v>231</v>
      </c>
      <c r="N230" s="5" t="s">
        <v>386</v>
      </c>
      <c r="O230" s="33" t="s">
        <v>386</v>
      </c>
      <c r="P230" s="5" t="s">
        <v>386</v>
      </c>
      <c r="Q230" s="5" t="s">
        <v>386</v>
      </c>
      <c r="R230" s="31" t="s">
        <v>755</v>
      </c>
      <c r="S230" s="31" t="s">
        <v>386</v>
      </c>
      <c r="T230" s="5"/>
      <c r="U230" s="5"/>
      <c r="V230" s="5"/>
      <c r="W230" s="38"/>
      <c r="X230" s="5"/>
      <c r="Y230" s="5"/>
      <c r="Z230" s="38"/>
      <c r="AA230" s="31"/>
      <c r="AB230" s="92" t="s">
        <v>1964</v>
      </c>
      <c r="AC230" s="5" t="s">
        <v>24</v>
      </c>
      <c r="AD230" s="31" t="s">
        <v>259</v>
      </c>
      <c r="AE230" s="36" t="s">
        <v>1947</v>
      </c>
      <c r="AF230" s="5" t="s">
        <v>1965</v>
      </c>
      <c r="AG230" s="5"/>
      <c r="AH230" s="5"/>
      <c r="AI230" s="5"/>
      <c r="AJ230" s="5"/>
      <c r="AK230" s="5"/>
      <c r="AL230" s="5"/>
      <c r="AM230" s="5"/>
      <c r="AN230" s="5"/>
      <c r="AO230" s="5"/>
      <c r="AP230" s="5"/>
      <c r="AQ230" s="31"/>
      <c r="AR230" s="31" t="s">
        <v>243</v>
      </c>
      <c r="AS230" s="38"/>
      <c r="AT230" s="38"/>
      <c r="AU230" s="38"/>
      <c r="AV230" s="38"/>
      <c r="AW230" s="38"/>
      <c r="AX230" s="38"/>
      <c r="AY230" s="38"/>
      <c r="AZ230" s="38"/>
      <c r="BA230" s="38"/>
      <c r="BB230" s="46"/>
      <c r="BC230" s="37">
        <v>92</v>
      </c>
      <c r="BD230" s="37"/>
      <c r="BE230" s="5"/>
      <c r="BF230" s="5"/>
      <c r="BG230" s="5"/>
      <c r="BH230" s="5" t="s">
        <v>1966</v>
      </c>
      <c r="BI230" s="5" t="s">
        <v>1966</v>
      </c>
      <c r="BJ230" s="57"/>
      <c r="BK230" s="49">
        <v>2</v>
      </c>
    </row>
    <row x14ac:dyDescent="0.25" r="231" customHeight="1" ht="31.5">
      <c r="A231" s="30" t="s">
        <v>386</v>
      </c>
      <c r="B231" s="1" t="s">
        <v>778</v>
      </c>
      <c r="C231" s="5" t="s">
        <v>1967</v>
      </c>
      <c r="D231" s="31" t="s">
        <v>780</v>
      </c>
      <c r="E231" s="5"/>
      <c r="F231" s="5" t="s">
        <v>1945</v>
      </c>
      <c r="G231" s="5" t="s">
        <v>386</v>
      </c>
      <c r="H231" s="31" t="s">
        <v>386</v>
      </c>
      <c r="I231" s="31" t="s">
        <v>386</v>
      </c>
      <c r="J231" s="31" t="s">
        <v>386</v>
      </c>
      <c r="K231" s="62"/>
      <c r="L231" s="62"/>
      <c r="M231" s="5" t="s">
        <v>231</v>
      </c>
      <c r="N231" s="5" t="s">
        <v>386</v>
      </c>
      <c r="O231" s="33" t="s">
        <v>386</v>
      </c>
      <c r="P231" s="5" t="s">
        <v>386</v>
      </c>
      <c r="Q231" s="5" t="s">
        <v>386</v>
      </c>
      <c r="R231" s="31" t="s">
        <v>755</v>
      </c>
      <c r="S231" s="31" t="s">
        <v>386</v>
      </c>
      <c r="T231" s="5"/>
      <c r="U231" s="5"/>
      <c r="V231" s="5"/>
      <c r="W231" s="38"/>
      <c r="X231" s="5"/>
      <c r="Y231" s="5"/>
      <c r="Z231" s="38"/>
      <c r="AA231" s="31"/>
      <c r="AB231" s="92" t="s">
        <v>1968</v>
      </c>
      <c r="AC231" s="5" t="s">
        <v>38</v>
      </c>
      <c r="AD231" s="31" t="s">
        <v>259</v>
      </c>
      <c r="AE231" s="36" t="s">
        <v>1947</v>
      </c>
      <c r="AF231" s="5" t="s">
        <v>1969</v>
      </c>
      <c r="AG231" s="5"/>
      <c r="AH231" s="5"/>
      <c r="AI231" s="5"/>
      <c r="AJ231" s="5"/>
      <c r="AK231" s="5"/>
      <c r="AL231" s="5"/>
      <c r="AM231" s="5"/>
      <c r="AN231" s="5"/>
      <c r="AO231" s="5"/>
      <c r="AP231" s="5"/>
      <c r="AQ231" s="31"/>
      <c r="AR231" s="31" t="s">
        <v>243</v>
      </c>
      <c r="AS231" s="38"/>
      <c r="AT231" s="38"/>
      <c r="AU231" s="38"/>
      <c r="AV231" s="38"/>
      <c r="AW231" s="38"/>
      <c r="AX231" s="38"/>
      <c r="AY231" s="38"/>
      <c r="AZ231" s="38"/>
      <c r="BA231" s="38"/>
      <c r="BB231" s="46"/>
      <c r="BC231" s="37">
        <v>93</v>
      </c>
      <c r="BD231" s="37"/>
      <c r="BE231" s="5"/>
      <c r="BF231" s="5"/>
      <c r="BG231" s="5"/>
      <c r="BH231" s="5" t="s">
        <v>1970</v>
      </c>
      <c r="BI231" s="5" t="s">
        <v>1970</v>
      </c>
      <c r="BJ231" s="57"/>
      <c r="BK231" s="49">
        <v>2</v>
      </c>
    </row>
    <row x14ac:dyDescent="0.25" r="232" customHeight="1" ht="31.5">
      <c r="A232" s="156" t="s">
        <v>1971</v>
      </c>
      <c r="B232" s="158" t="s">
        <v>1972</v>
      </c>
      <c r="C232" s="158" t="s">
        <v>1973</v>
      </c>
      <c r="D232" s="158" t="s">
        <v>1974</v>
      </c>
      <c r="E232" s="157" t="s">
        <v>529</v>
      </c>
      <c r="F232" s="157" t="s">
        <v>1975</v>
      </c>
      <c r="G232" s="158" t="s">
        <v>283</v>
      </c>
      <c r="H232" s="158" t="s">
        <v>1976</v>
      </c>
      <c r="I232" s="159"/>
      <c r="J232" s="159"/>
      <c r="K232" s="157"/>
      <c r="L232" s="157"/>
      <c r="M232" s="157" t="s">
        <v>231</v>
      </c>
      <c r="N232" s="157" t="s">
        <v>285</v>
      </c>
      <c r="O232" s="160"/>
      <c r="P232" s="157"/>
      <c r="Q232" s="161" t="s">
        <v>251</v>
      </c>
      <c r="R232" s="158" t="s">
        <v>286</v>
      </c>
      <c r="S232" s="158"/>
      <c r="T232" s="158"/>
      <c r="U232" s="158" t="s">
        <v>1977</v>
      </c>
      <c r="V232" s="157"/>
      <c r="W232" s="162">
        <v>1</v>
      </c>
      <c r="X232" s="158" t="s">
        <v>285</v>
      </c>
      <c r="Y232" s="157" t="s">
        <v>288</v>
      </c>
      <c r="Z232" s="163">
        <v>1</v>
      </c>
      <c r="AA232" s="158" t="s">
        <v>1978</v>
      </c>
      <c r="AB232" s="158" t="s">
        <v>1979</v>
      </c>
      <c r="AC232" s="157" t="s">
        <v>76</v>
      </c>
      <c r="AD232" s="158" t="s">
        <v>259</v>
      </c>
      <c r="AE232" s="164" t="s">
        <v>828</v>
      </c>
      <c r="AF232" s="158" t="s">
        <v>829</v>
      </c>
      <c r="AG232" s="158"/>
      <c r="AH232" s="158"/>
      <c r="AI232" s="158"/>
      <c r="AJ232" s="158" t="s">
        <v>262</v>
      </c>
      <c r="AK232" s="158" t="s">
        <v>259</v>
      </c>
      <c r="AL232" s="158"/>
      <c r="AM232" s="158"/>
      <c r="AN232" s="158" t="s">
        <v>830</v>
      </c>
      <c r="AO232" s="158" t="s">
        <v>259</v>
      </c>
      <c r="AP232" s="158" t="s">
        <v>831</v>
      </c>
      <c r="AQ232" s="158"/>
      <c r="AR232" s="158" t="s">
        <v>263</v>
      </c>
      <c r="AS232" s="156">
        <v>90</v>
      </c>
      <c r="AT232" s="165">
        <v>31</v>
      </c>
      <c r="AU232" s="165"/>
      <c r="AV232" s="165">
        <v>7</v>
      </c>
      <c r="AW232" s="165"/>
      <c r="AX232" s="165"/>
      <c r="AY232" s="166"/>
      <c r="AZ232" s="166"/>
      <c r="BA232" s="166"/>
      <c r="BB232" s="161" t="s">
        <v>529</v>
      </c>
      <c r="BC232" s="165">
        <v>64</v>
      </c>
      <c r="BD232" s="165"/>
      <c r="BE232" s="157"/>
      <c r="BF232" s="157"/>
      <c r="BG232" s="158" t="s">
        <v>1980</v>
      </c>
      <c r="BH232" s="158"/>
      <c r="BI232" s="158" t="s">
        <v>1980</v>
      </c>
      <c r="BJ232" s="158"/>
      <c r="BK232" s="156"/>
    </row>
    <row x14ac:dyDescent="0.25" r="233" customHeight="1" ht="31.5">
      <c r="A233" s="156" t="s">
        <v>1981</v>
      </c>
      <c r="B233" s="158" t="s">
        <v>1982</v>
      </c>
      <c r="C233" s="158" t="s">
        <v>1983</v>
      </c>
      <c r="D233" s="158" t="s">
        <v>1984</v>
      </c>
      <c r="E233" s="157" t="s">
        <v>529</v>
      </c>
      <c r="F233" s="157" t="s">
        <v>1975</v>
      </c>
      <c r="G233" s="158" t="s">
        <v>283</v>
      </c>
      <c r="H233" s="158" t="s">
        <v>1985</v>
      </c>
      <c r="I233" s="159"/>
      <c r="J233" s="159"/>
      <c r="K233" s="157"/>
      <c r="L233" s="157"/>
      <c r="M233" s="157" t="s">
        <v>231</v>
      </c>
      <c r="N233" s="157" t="s">
        <v>285</v>
      </c>
      <c r="O233" s="160"/>
      <c r="P233" s="157"/>
      <c r="Q233" s="161" t="s">
        <v>251</v>
      </c>
      <c r="R233" s="158" t="s">
        <v>286</v>
      </c>
      <c r="S233" s="158"/>
      <c r="T233" s="158"/>
      <c r="U233" s="158" t="s">
        <v>1986</v>
      </c>
      <c r="V233" s="157"/>
      <c r="W233" s="162">
        <v>1</v>
      </c>
      <c r="X233" s="158" t="s">
        <v>285</v>
      </c>
      <c r="Y233" s="157" t="s">
        <v>288</v>
      </c>
      <c r="Z233" s="163">
        <v>1</v>
      </c>
      <c r="AA233" s="158" t="s">
        <v>1987</v>
      </c>
      <c r="AB233" s="158" t="s">
        <v>1988</v>
      </c>
      <c r="AC233" s="157" t="s">
        <v>76</v>
      </c>
      <c r="AD233" s="158" t="s">
        <v>259</v>
      </c>
      <c r="AE233" s="164" t="s">
        <v>828</v>
      </c>
      <c r="AF233" s="158" t="s">
        <v>857</v>
      </c>
      <c r="AG233" s="158"/>
      <c r="AH233" s="158"/>
      <c r="AI233" s="158"/>
      <c r="AJ233" s="158" t="s">
        <v>262</v>
      </c>
      <c r="AK233" s="158" t="s">
        <v>259</v>
      </c>
      <c r="AL233" s="158"/>
      <c r="AM233" s="158"/>
      <c r="AN233" s="158" t="s">
        <v>830</v>
      </c>
      <c r="AO233" s="158" t="s">
        <v>259</v>
      </c>
      <c r="AP233" s="158" t="s">
        <v>831</v>
      </c>
      <c r="AQ233" s="158"/>
      <c r="AR233" s="158" t="s">
        <v>263</v>
      </c>
      <c r="AS233" s="156">
        <v>92</v>
      </c>
      <c r="AT233" s="165">
        <v>34</v>
      </c>
      <c r="AU233" s="165"/>
      <c r="AV233" s="165">
        <v>9</v>
      </c>
      <c r="AW233" s="165"/>
      <c r="AX233" s="165"/>
      <c r="AY233" s="166"/>
      <c r="AZ233" s="166"/>
      <c r="BA233" s="166"/>
      <c r="BB233" s="161" t="s">
        <v>529</v>
      </c>
      <c r="BC233" s="165">
        <v>67</v>
      </c>
      <c r="BD233" s="165"/>
      <c r="BE233" s="157"/>
      <c r="BF233" s="157"/>
      <c r="BG233" s="158" t="s">
        <v>1989</v>
      </c>
      <c r="BH233" s="158"/>
      <c r="BI233" s="158" t="s">
        <v>1989</v>
      </c>
      <c r="BJ233" s="158"/>
      <c r="BK233" s="156"/>
    </row>
    <row x14ac:dyDescent="0.25" r="234" customHeight="1" ht="31.5">
      <c r="A234" s="30" t="s">
        <v>1990</v>
      </c>
      <c r="B234" s="5" t="s">
        <v>1991</v>
      </c>
      <c r="C234" s="31" t="s">
        <v>1992</v>
      </c>
      <c r="D234" s="31" t="s">
        <v>1992</v>
      </c>
      <c r="E234" s="5"/>
      <c r="F234" s="5" t="s">
        <v>1953</v>
      </c>
      <c r="G234" s="5" t="s">
        <v>283</v>
      </c>
      <c r="H234" s="31" t="s">
        <v>1993</v>
      </c>
      <c r="I234" s="32"/>
      <c r="J234" s="32"/>
      <c r="K234" s="5"/>
      <c r="L234" s="5"/>
      <c r="M234" s="5" t="s">
        <v>231</v>
      </c>
      <c r="N234" s="5"/>
      <c r="O234" s="33"/>
      <c r="P234" s="5"/>
      <c r="Q234" s="1" t="s">
        <v>251</v>
      </c>
      <c r="R234" s="31"/>
      <c r="S234" s="31"/>
      <c r="T234" s="31"/>
      <c r="U234" s="31" t="s">
        <v>1994</v>
      </c>
      <c r="V234" s="5"/>
      <c r="W234" s="40">
        <v>0</v>
      </c>
      <c r="X234" s="41" t="s">
        <v>386</v>
      </c>
      <c r="Y234" s="42"/>
      <c r="Z234" s="38" t="s">
        <v>386</v>
      </c>
      <c r="AA234" s="31" t="s">
        <v>1992</v>
      </c>
      <c r="AB234" s="31" t="s">
        <v>1995</v>
      </c>
      <c r="AC234" s="5" t="s">
        <v>24</v>
      </c>
      <c r="AD234" s="5" t="s">
        <v>259</v>
      </c>
      <c r="AE234" s="169" t="s">
        <v>1957</v>
      </c>
      <c r="AF234" s="5" t="s">
        <v>292</v>
      </c>
      <c r="AG234" s="5" t="s">
        <v>104</v>
      </c>
      <c r="AH234" s="5"/>
      <c r="AI234" s="5"/>
      <c r="AJ234" s="5" t="s">
        <v>262</v>
      </c>
      <c r="AK234" s="5" t="s">
        <v>259</v>
      </c>
      <c r="AL234" s="5"/>
      <c r="AM234" s="5"/>
      <c r="AN234" s="5"/>
      <c r="AO234" s="5"/>
      <c r="AP234" s="5"/>
      <c r="AQ234" s="31"/>
      <c r="AR234" s="5"/>
      <c r="AS234" s="30">
        <v>125</v>
      </c>
      <c r="AT234" s="37"/>
      <c r="AU234" s="37"/>
      <c r="AV234" s="37">
        <v>14</v>
      </c>
      <c r="AW234" s="37"/>
      <c r="AX234" s="37"/>
      <c r="AY234" s="38"/>
      <c r="AZ234" s="38"/>
      <c r="BA234" s="38"/>
      <c r="BB234" s="46"/>
      <c r="BC234" s="37"/>
      <c r="BD234" s="37"/>
      <c r="BE234" s="5"/>
      <c r="BF234" s="5"/>
      <c r="BG234" s="47"/>
      <c r="BH234" s="47"/>
      <c r="BI234" s="47"/>
      <c r="BJ234" s="60"/>
      <c r="BK234" s="49"/>
    </row>
    <row x14ac:dyDescent="0.25" r="235" customHeight="1" ht="31.5">
      <c r="A235" s="197" t="s">
        <v>387</v>
      </c>
      <c r="B235" s="198" t="s">
        <v>387</v>
      </c>
      <c r="C235" s="178" t="s">
        <v>1535</v>
      </c>
      <c r="D235" s="178" t="s">
        <v>1535</v>
      </c>
      <c r="E235" s="198"/>
      <c r="F235" s="198" t="s">
        <v>703</v>
      </c>
      <c r="G235" s="198" t="s">
        <v>1996</v>
      </c>
      <c r="H235" s="178" t="s">
        <v>386</v>
      </c>
      <c r="I235" s="178"/>
      <c r="J235" s="178"/>
      <c r="K235" s="198"/>
      <c r="L235" s="198"/>
      <c r="M235" s="198" t="s">
        <v>231</v>
      </c>
      <c r="N235" s="198"/>
      <c r="O235" s="199"/>
      <c r="P235" s="198"/>
      <c r="Q235" s="198" t="s">
        <v>1997</v>
      </c>
      <c r="R235" s="178"/>
      <c r="S235" s="178"/>
      <c r="T235" s="178" t="s">
        <v>1998</v>
      </c>
      <c r="U235" s="178" t="s">
        <v>1999</v>
      </c>
      <c r="V235" s="198"/>
      <c r="W235" s="200">
        <v>1</v>
      </c>
      <c r="X235" s="178" t="s">
        <v>1407</v>
      </c>
      <c r="Y235" s="198"/>
      <c r="Z235" s="201">
        <v>1</v>
      </c>
      <c r="AA235" s="178"/>
      <c r="AB235" s="178" t="s">
        <v>2000</v>
      </c>
      <c r="AC235" s="5" t="s">
        <v>24</v>
      </c>
      <c r="AD235" s="198" t="s">
        <v>259</v>
      </c>
      <c r="AE235" s="202" t="s">
        <v>1410</v>
      </c>
      <c r="AF235" s="178" t="s">
        <v>672</v>
      </c>
      <c r="AG235" s="178" t="s">
        <v>80</v>
      </c>
      <c r="AH235" s="178"/>
      <c r="AI235" s="178"/>
      <c r="AJ235" s="178" t="s">
        <v>262</v>
      </c>
      <c r="AK235" s="178" t="s">
        <v>259</v>
      </c>
      <c r="AL235" s="178"/>
      <c r="AM235" s="178"/>
      <c r="AN235" s="178"/>
      <c r="AO235" s="178"/>
      <c r="AP235" s="178"/>
      <c r="AQ235" s="178"/>
      <c r="AR235" s="203" t="s">
        <v>2001</v>
      </c>
      <c r="AS235" s="197"/>
      <c r="AT235" s="187"/>
      <c r="AU235" s="187"/>
      <c r="AV235" s="187"/>
      <c r="AW235" s="187"/>
      <c r="AX235" s="187"/>
      <c r="AY235" s="188"/>
      <c r="AZ235" s="188"/>
      <c r="BA235" s="188"/>
      <c r="BB235" s="189"/>
      <c r="BC235" s="37"/>
      <c r="BD235" s="37"/>
      <c r="BE235" s="181"/>
      <c r="BF235" s="181"/>
      <c r="BG235" s="204" t="s">
        <v>1999</v>
      </c>
      <c r="BH235" s="47"/>
      <c r="BI235" s="31" t="s">
        <v>1999</v>
      </c>
      <c r="BJ235" s="48"/>
      <c r="BK235" s="49">
        <v>3</v>
      </c>
    </row>
    <row x14ac:dyDescent="0.25" r="236" customHeight="1" ht="31.5">
      <c r="A236" s="197" t="s">
        <v>387</v>
      </c>
      <c r="B236" s="198" t="s">
        <v>387</v>
      </c>
      <c r="C236" s="178" t="s">
        <v>1555</v>
      </c>
      <c r="D236" s="178" t="s">
        <v>1513</v>
      </c>
      <c r="E236" s="198"/>
      <c r="F236" s="198" t="s">
        <v>703</v>
      </c>
      <c r="G236" s="198" t="s">
        <v>1996</v>
      </c>
      <c r="H236" s="178" t="s">
        <v>386</v>
      </c>
      <c r="I236" s="178"/>
      <c r="J236" s="178"/>
      <c r="K236" s="198"/>
      <c r="L236" s="198"/>
      <c r="M236" s="198" t="s">
        <v>231</v>
      </c>
      <c r="N236" s="198"/>
      <c r="O236" s="199"/>
      <c r="P236" s="198"/>
      <c r="Q236" s="198" t="s">
        <v>1997</v>
      </c>
      <c r="R236" s="178"/>
      <c r="S236" s="178"/>
      <c r="T236" s="178" t="s">
        <v>1998</v>
      </c>
      <c r="U236" s="178" t="s">
        <v>2002</v>
      </c>
      <c r="V236" s="198"/>
      <c r="W236" s="200">
        <v>1</v>
      </c>
      <c r="X236" s="178" t="s">
        <v>1407</v>
      </c>
      <c r="Y236" s="198"/>
      <c r="Z236" s="201">
        <v>0</v>
      </c>
      <c r="AA236" s="178"/>
      <c r="AB236" s="178" t="s">
        <v>2003</v>
      </c>
      <c r="AC236" s="5" t="s">
        <v>24</v>
      </c>
      <c r="AD236" s="198" t="s">
        <v>259</v>
      </c>
      <c r="AE236" s="202" t="s">
        <v>1410</v>
      </c>
      <c r="AF236" s="178" t="s">
        <v>641</v>
      </c>
      <c r="AG236" s="178" t="s">
        <v>80</v>
      </c>
      <c r="AH236" s="178"/>
      <c r="AI236" s="178"/>
      <c r="AJ236" s="178" t="s">
        <v>262</v>
      </c>
      <c r="AK236" s="178" t="s">
        <v>259</v>
      </c>
      <c r="AL236" s="178"/>
      <c r="AM236" s="178"/>
      <c r="AN236" s="178"/>
      <c r="AO236" s="178"/>
      <c r="AP236" s="178"/>
      <c r="AQ236" s="178"/>
      <c r="AR236" s="203" t="s">
        <v>2001</v>
      </c>
      <c r="AS236" s="197"/>
      <c r="AT236" s="187"/>
      <c r="AU236" s="187"/>
      <c r="AV236" s="187"/>
      <c r="AW236" s="187"/>
      <c r="AX236" s="187"/>
      <c r="AY236" s="188"/>
      <c r="AZ236" s="188"/>
      <c r="BA236" s="188"/>
      <c r="BB236" s="189"/>
      <c r="BC236" s="37"/>
      <c r="BD236" s="37"/>
      <c r="BE236" s="181"/>
      <c r="BF236" s="181"/>
      <c r="BG236" s="178" t="s">
        <v>2002</v>
      </c>
      <c r="BH236" s="182"/>
      <c r="BI236" s="31" t="s">
        <v>2002</v>
      </c>
      <c r="BJ236" s="48"/>
      <c r="BK236" s="49">
        <v>3</v>
      </c>
    </row>
    <row x14ac:dyDescent="0.25" r="237" customHeight="1" ht="31.5">
      <c r="A237" s="197" t="s">
        <v>387</v>
      </c>
      <c r="B237" s="198" t="s">
        <v>387</v>
      </c>
      <c r="C237" s="178" t="s">
        <v>1524</v>
      </c>
      <c r="D237" s="178" t="s">
        <v>1555</v>
      </c>
      <c r="E237" s="198"/>
      <c r="F237" s="198" t="s">
        <v>703</v>
      </c>
      <c r="G237" s="198" t="s">
        <v>1996</v>
      </c>
      <c r="H237" s="178" t="s">
        <v>386</v>
      </c>
      <c r="I237" s="178"/>
      <c r="J237" s="178"/>
      <c r="K237" s="198"/>
      <c r="L237" s="198"/>
      <c r="M237" s="198" t="s">
        <v>231</v>
      </c>
      <c r="N237" s="198"/>
      <c r="O237" s="199"/>
      <c r="P237" s="198"/>
      <c r="Q237" s="198" t="s">
        <v>1997</v>
      </c>
      <c r="R237" s="178"/>
      <c r="S237" s="178"/>
      <c r="T237" s="178" t="s">
        <v>1998</v>
      </c>
      <c r="U237" s="178" t="s">
        <v>2004</v>
      </c>
      <c r="V237" s="198"/>
      <c r="W237" s="200">
        <v>1</v>
      </c>
      <c r="X237" s="178" t="s">
        <v>1407</v>
      </c>
      <c r="Y237" s="198"/>
      <c r="Z237" s="201">
        <v>1</v>
      </c>
      <c r="AA237" s="178"/>
      <c r="AB237" s="178" t="s">
        <v>2005</v>
      </c>
      <c r="AC237" s="5" t="s">
        <v>24</v>
      </c>
      <c r="AD237" s="198" t="s">
        <v>259</v>
      </c>
      <c r="AE237" s="202" t="s">
        <v>1410</v>
      </c>
      <c r="AF237" s="178" t="s">
        <v>656</v>
      </c>
      <c r="AG237" s="178" t="s">
        <v>80</v>
      </c>
      <c r="AH237" s="178"/>
      <c r="AI237" s="178"/>
      <c r="AJ237" s="178" t="s">
        <v>262</v>
      </c>
      <c r="AK237" s="178" t="s">
        <v>259</v>
      </c>
      <c r="AL237" s="178"/>
      <c r="AM237" s="178"/>
      <c r="AN237" s="178"/>
      <c r="AO237" s="178"/>
      <c r="AP237" s="178"/>
      <c r="AQ237" s="178"/>
      <c r="AR237" s="203" t="s">
        <v>2001</v>
      </c>
      <c r="AS237" s="197"/>
      <c r="AT237" s="187"/>
      <c r="AU237" s="187"/>
      <c r="AV237" s="187"/>
      <c r="AW237" s="187"/>
      <c r="AX237" s="187"/>
      <c r="AY237" s="188"/>
      <c r="AZ237" s="188"/>
      <c r="BA237" s="188"/>
      <c r="BB237" s="189"/>
      <c r="BC237" s="37"/>
      <c r="BD237" s="37"/>
      <c r="BE237" s="181"/>
      <c r="BF237" s="181"/>
      <c r="BG237" s="178" t="s">
        <v>2004</v>
      </c>
      <c r="BH237" s="182"/>
      <c r="BI237" s="31" t="s">
        <v>2004</v>
      </c>
      <c r="BJ237" s="48"/>
      <c r="BK237" s="49">
        <v>3</v>
      </c>
    </row>
    <row x14ac:dyDescent="0.25" r="238" customHeight="1" ht="31.5">
      <c r="A238" s="197" t="s">
        <v>387</v>
      </c>
      <c r="B238" s="198" t="s">
        <v>387</v>
      </c>
      <c r="C238" s="178" t="s">
        <v>1513</v>
      </c>
      <c r="D238" s="178" t="s">
        <v>1545</v>
      </c>
      <c r="E238" s="198"/>
      <c r="F238" s="198" t="s">
        <v>703</v>
      </c>
      <c r="G238" s="198" t="s">
        <v>1996</v>
      </c>
      <c r="H238" s="178" t="s">
        <v>386</v>
      </c>
      <c r="I238" s="178"/>
      <c r="J238" s="178"/>
      <c r="K238" s="198"/>
      <c r="L238" s="198"/>
      <c r="M238" s="198" t="s">
        <v>231</v>
      </c>
      <c r="N238" s="198"/>
      <c r="O238" s="199"/>
      <c r="P238" s="198"/>
      <c r="Q238" s="198" t="s">
        <v>1997</v>
      </c>
      <c r="R238" s="178"/>
      <c r="S238" s="178"/>
      <c r="T238" s="178" t="s">
        <v>1998</v>
      </c>
      <c r="U238" s="178" t="s">
        <v>2006</v>
      </c>
      <c r="V238" s="198"/>
      <c r="W238" s="200">
        <v>1</v>
      </c>
      <c r="X238" s="178" t="s">
        <v>1407</v>
      </c>
      <c r="Y238" s="198"/>
      <c r="Z238" s="201">
        <v>1</v>
      </c>
      <c r="AA238" s="178"/>
      <c r="AB238" s="178" t="s">
        <v>2007</v>
      </c>
      <c r="AC238" s="5" t="s">
        <v>24</v>
      </c>
      <c r="AD238" s="198" t="s">
        <v>259</v>
      </c>
      <c r="AE238" s="202" t="s">
        <v>1410</v>
      </c>
      <c r="AF238" s="178" t="s">
        <v>664</v>
      </c>
      <c r="AG238" s="178" t="s">
        <v>80</v>
      </c>
      <c r="AH238" s="178"/>
      <c r="AI238" s="178"/>
      <c r="AJ238" s="178" t="s">
        <v>262</v>
      </c>
      <c r="AK238" s="178" t="s">
        <v>259</v>
      </c>
      <c r="AL238" s="178"/>
      <c r="AM238" s="178"/>
      <c r="AN238" s="178"/>
      <c r="AO238" s="178"/>
      <c r="AP238" s="178"/>
      <c r="AQ238" s="178"/>
      <c r="AR238" s="203" t="s">
        <v>2001</v>
      </c>
      <c r="AS238" s="197"/>
      <c r="AT238" s="187"/>
      <c r="AU238" s="187"/>
      <c r="AV238" s="187"/>
      <c r="AW238" s="187"/>
      <c r="AX238" s="187"/>
      <c r="AY238" s="188"/>
      <c r="AZ238" s="188"/>
      <c r="BA238" s="188"/>
      <c r="BB238" s="189"/>
      <c r="BC238" s="37"/>
      <c r="BD238" s="37"/>
      <c r="BE238" s="181"/>
      <c r="BF238" s="181"/>
      <c r="BG238" s="178" t="s">
        <v>2006</v>
      </c>
      <c r="BH238" s="182"/>
      <c r="BI238" s="31" t="s">
        <v>2006</v>
      </c>
      <c r="BJ238" s="48"/>
      <c r="BK238" s="49">
        <v>3</v>
      </c>
    </row>
    <row x14ac:dyDescent="0.25" r="239" customHeight="1" ht="31.5">
      <c r="A239" s="197" t="s">
        <v>387</v>
      </c>
      <c r="B239" s="198" t="s">
        <v>387</v>
      </c>
      <c r="C239" s="178" t="s">
        <v>1545</v>
      </c>
      <c r="D239" s="178" t="s">
        <v>1524</v>
      </c>
      <c r="E239" s="198"/>
      <c r="F239" s="198" t="s">
        <v>703</v>
      </c>
      <c r="G239" s="198" t="s">
        <v>1996</v>
      </c>
      <c r="H239" s="178" t="s">
        <v>386</v>
      </c>
      <c r="I239" s="178"/>
      <c r="J239" s="178"/>
      <c r="K239" s="198"/>
      <c r="L239" s="198"/>
      <c r="M239" s="198" t="s">
        <v>231</v>
      </c>
      <c r="N239" s="198"/>
      <c r="O239" s="199"/>
      <c r="P239" s="198"/>
      <c r="Q239" s="198" t="s">
        <v>1997</v>
      </c>
      <c r="R239" s="178"/>
      <c r="S239" s="178"/>
      <c r="T239" s="178" t="s">
        <v>1998</v>
      </c>
      <c r="U239" s="178" t="s">
        <v>2008</v>
      </c>
      <c r="V239" s="198"/>
      <c r="W239" s="200">
        <v>1</v>
      </c>
      <c r="X239" s="178" t="s">
        <v>1407</v>
      </c>
      <c r="Y239" s="198"/>
      <c r="Z239" s="201">
        <v>0</v>
      </c>
      <c r="AA239" s="178"/>
      <c r="AB239" s="178" t="s">
        <v>2009</v>
      </c>
      <c r="AC239" s="5" t="s">
        <v>24</v>
      </c>
      <c r="AD239" s="198" t="s">
        <v>259</v>
      </c>
      <c r="AE239" s="202" t="s">
        <v>1410</v>
      </c>
      <c r="AF239" s="178" t="s">
        <v>649</v>
      </c>
      <c r="AG239" s="178" t="s">
        <v>80</v>
      </c>
      <c r="AH239" s="178"/>
      <c r="AI239" s="178"/>
      <c r="AJ239" s="178" t="s">
        <v>262</v>
      </c>
      <c r="AK239" s="178" t="s">
        <v>259</v>
      </c>
      <c r="AL239" s="178"/>
      <c r="AM239" s="178"/>
      <c r="AN239" s="178"/>
      <c r="AO239" s="178"/>
      <c r="AP239" s="178"/>
      <c r="AQ239" s="178"/>
      <c r="AR239" s="203" t="s">
        <v>2001</v>
      </c>
      <c r="AS239" s="197"/>
      <c r="AT239" s="187"/>
      <c r="AU239" s="187"/>
      <c r="AV239" s="187"/>
      <c r="AW239" s="187"/>
      <c r="AX239" s="187"/>
      <c r="AY239" s="188"/>
      <c r="AZ239" s="188"/>
      <c r="BA239" s="188"/>
      <c r="BB239" s="189"/>
      <c r="BC239" s="37"/>
      <c r="BD239" s="37"/>
      <c r="BE239" s="181"/>
      <c r="BF239" s="181"/>
      <c r="BG239" s="178" t="s">
        <v>2008</v>
      </c>
      <c r="BH239" s="182"/>
      <c r="BI239" s="31" t="s">
        <v>2008</v>
      </c>
      <c r="BJ239" s="48"/>
      <c r="BK239" s="49">
        <v>3</v>
      </c>
    </row>
    <row x14ac:dyDescent="0.25" r="240" customHeight="1" ht="31.5">
      <c r="A240" s="205" t="s">
        <v>387</v>
      </c>
      <c r="B240" s="206" t="s">
        <v>387</v>
      </c>
      <c r="C240" s="202" t="s">
        <v>2010</v>
      </c>
      <c r="D240" s="202" t="s">
        <v>2010</v>
      </c>
      <c r="E240" s="206"/>
      <c r="F240" s="206" t="s">
        <v>703</v>
      </c>
      <c r="G240" s="206" t="s">
        <v>1996</v>
      </c>
      <c r="H240" s="202" t="s">
        <v>386</v>
      </c>
      <c r="I240" s="202"/>
      <c r="J240" s="202"/>
      <c r="K240" s="206"/>
      <c r="L240" s="206"/>
      <c r="M240" s="206" t="s">
        <v>231</v>
      </c>
      <c r="N240" s="206"/>
      <c r="O240" s="199"/>
      <c r="P240" s="206"/>
      <c r="Q240" s="206" t="s">
        <v>1997</v>
      </c>
      <c r="R240" s="202"/>
      <c r="S240" s="202"/>
      <c r="T240" s="202" t="s">
        <v>1998</v>
      </c>
      <c r="U240" s="202" t="s">
        <v>2011</v>
      </c>
      <c r="V240" s="206"/>
      <c r="W240" s="207">
        <v>1</v>
      </c>
      <c r="X240" s="178" t="s">
        <v>1407</v>
      </c>
      <c r="Y240" s="206"/>
      <c r="Z240" s="208">
        <v>0</v>
      </c>
      <c r="AA240" s="202"/>
      <c r="AB240" s="202" t="s">
        <v>2012</v>
      </c>
      <c r="AC240" s="5" t="s">
        <v>24</v>
      </c>
      <c r="AD240" s="206" t="s">
        <v>259</v>
      </c>
      <c r="AE240" s="202" t="s">
        <v>1410</v>
      </c>
      <c r="AF240" s="202" t="s">
        <v>672</v>
      </c>
      <c r="AG240" s="202" t="s">
        <v>91</v>
      </c>
      <c r="AH240" s="202"/>
      <c r="AI240" s="202"/>
      <c r="AJ240" s="202" t="s">
        <v>262</v>
      </c>
      <c r="AK240" s="202" t="s">
        <v>259</v>
      </c>
      <c r="AL240" s="202"/>
      <c r="AM240" s="202"/>
      <c r="AN240" s="202"/>
      <c r="AO240" s="202"/>
      <c r="AP240" s="202"/>
      <c r="AQ240" s="202"/>
      <c r="AR240" s="203" t="s">
        <v>2013</v>
      </c>
      <c r="AS240" s="197"/>
      <c r="AT240" s="175"/>
      <c r="AU240" s="175"/>
      <c r="AV240" s="175"/>
      <c r="AW240" s="175"/>
      <c r="AX240" s="175"/>
      <c r="AY240" s="176"/>
      <c r="AZ240" s="176"/>
      <c r="BA240" s="176"/>
      <c r="BB240" s="177"/>
      <c r="BC240" s="37"/>
      <c r="BD240" s="37"/>
      <c r="BE240" s="169"/>
      <c r="BF240" s="169"/>
      <c r="BG240" s="202" t="s">
        <v>2011</v>
      </c>
      <c r="BH240" s="36"/>
      <c r="BI240" s="31" t="s">
        <v>2011</v>
      </c>
      <c r="BJ240" s="48"/>
      <c r="BK240" s="49">
        <v>3</v>
      </c>
    </row>
    <row x14ac:dyDescent="0.25" r="241" customHeight="1" ht="31.5">
      <c r="A241" s="205" t="s">
        <v>387</v>
      </c>
      <c r="B241" s="206" t="s">
        <v>387</v>
      </c>
      <c r="C241" s="202" t="s">
        <v>2014</v>
      </c>
      <c r="D241" s="202" t="s">
        <v>2014</v>
      </c>
      <c r="E241" s="206"/>
      <c r="F241" s="206" t="s">
        <v>703</v>
      </c>
      <c r="G241" s="206" t="s">
        <v>1996</v>
      </c>
      <c r="H241" s="202" t="s">
        <v>386</v>
      </c>
      <c r="I241" s="202"/>
      <c r="J241" s="202"/>
      <c r="K241" s="206"/>
      <c r="L241" s="206"/>
      <c r="M241" s="206" t="s">
        <v>231</v>
      </c>
      <c r="N241" s="206"/>
      <c r="O241" s="199"/>
      <c r="P241" s="206"/>
      <c r="Q241" s="206" t="s">
        <v>1997</v>
      </c>
      <c r="R241" s="202"/>
      <c r="S241" s="202"/>
      <c r="T241" s="202" t="s">
        <v>1998</v>
      </c>
      <c r="U241" s="202" t="s">
        <v>2015</v>
      </c>
      <c r="V241" s="206"/>
      <c r="W241" s="207">
        <v>1</v>
      </c>
      <c r="X241" s="178" t="s">
        <v>1407</v>
      </c>
      <c r="Y241" s="206"/>
      <c r="Z241" s="208">
        <v>0</v>
      </c>
      <c r="AA241" s="202"/>
      <c r="AB241" s="202" t="s">
        <v>2016</v>
      </c>
      <c r="AC241" s="5" t="s">
        <v>24</v>
      </c>
      <c r="AD241" s="206" t="s">
        <v>259</v>
      </c>
      <c r="AE241" s="202" t="s">
        <v>1410</v>
      </c>
      <c r="AF241" s="202" t="s">
        <v>656</v>
      </c>
      <c r="AG241" s="202" t="s">
        <v>91</v>
      </c>
      <c r="AH241" s="202"/>
      <c r="AI241" s="202"/>
      <c r="AJ241" s="202" t="s">
        <v>262</v>
      </c>
      <c r="AK241" s="202" t="s">
        <v>259</v>
      </c>
      <c r="AL241" s="202"/>
      <c r="AM241" s="202"/>
      <c r="AN241" s="202"/>
      <c r="AO241" s="202"/>
      <c r="AP241" s="202"/>
      <c r="AQ241" s="202"/>
      <c r="AR241" s="203" t="s">
        <v>2013</v>
      </c>
      <c r="AS241" s="197"/>
      <c r="AT241" s="175"/>
      <c r="AU241" s="175"/>
      <c r="AV241" s="175"/>
      <c r="AW241" s="175"/>
      <c r="AX241" s="175"/>
      <c r="AY241" s="176"/>
      <c r="AZ241" s="176"/>
      <c r="BA241" s="176"/>
      <c r="BB241" s="177"/>
      <c r="BC241" s="37"/>
      <c r="BD241" s="37"/>
      <c r="BE241" s="169"/>
      <c r="BF241" s="169"/>
      <c r="BG241" s="202" t="s">
        <v>2015</v>
      </c>
      <c r="BH241" s="36"/>
      <c r="BI241" s="31" t="s">
        <v>2015</v>
      </c>
      <c r="BJ241" s="48"/>
      <c r="BK241" s="49">
        <v>3</v>
      </c>
    </row>
    <row x14ac:dyDescent="0.25" r="242" customHeight="1" ht="31.5">
      <c r="A242" s="205" t="s">
        <v>387</v>
      </c>
      <c r="B242" s="206" t="s">
        <v>387</v>
      </c>
      <c r="C242" s="202" t="s">
        <v>2017</v>
      </c>
      <c r="D242" s="202" t="s">
        <v>2017</v>
      </c>
      <c r="E242" s="206"/>
      <c r="F242" s="206" t="s">
        <v>703</v>
      </c>
      <c r="G242" s="206" t="s">
        <v>1996</v>
      </c>
      <c r="H242" s="202" t="s">
        <v>386</v>
      </c>
      <c r="I242" s="202"/>
      <c r="J242" s="202"/>
      <c r="K242" s="206"/>
      <c r="L242" s="206"/>
      <c r="M242" s="206" t="s">
        <v>231</v>
      </c>
      <c r="N242" s="206"/>
      <c r="O242" s="199"/>
      <c r="P242" s="206"/>
      <c r="Q242" s="206" t="s">
        <v>1997</v>
      </c>
      <c r="R242" s="202"/>
      <c r="S242" s="202"/>
      <c r="T242" s="202" t="s">
        <v>1998</v>
      </c>
      <c r="U242" s="202" t="s">
        <v>2018</v>
      </c>
      <c r="V242" s="206"/>
      <c r="W242" s="207">
        <v>1</v>
      </c>
      <c r="X242" s="178" t="s">
        <v>1407</v>
      </c>
      <c r="Y242" s="206"/>
      <c r="Z242" s="208">
        <v>1</v>
      </c>
      <c r="AA242" s="202"/>
      <c r="AB242" s="202" t="s">
        <v>2019</v>
      </c>
      <c r="AC242" s="5" t="s">
        <v>24</v>
      </c>
      <c r="AD242" s="206" t="s">
        <v>259</v>
      </c>
      <c r="AE242" s="202" t="s">
        <v>1410</v>
      </c>
      <c r="AF242" s="202" t="s">
        <v>649</v>
      </c>
      <c r="AG242" s="202" t="s">
        <v>91</v>
      </c>
      <c r="AH242" s="202"/>
      <c r="AI242" s="202"/>
      <c r="AJ242" s="202" t="s">
        <v>262</v>
      </c>
      <c r="AK242" s="202" t="s">
        <v>259</v>
      </c>
      <c r="AL242" s="202"/>
      <c r="AM242" s="202"/>
      <c r="AN242" s="202"/>
      <c r="AO242" s="202"/>
      <c r="AP242" s="202"/>
      <c r="AQ242" s="202"/>
      <c r="AR242" s="203" t="s">
        <v>2013</v>
      </c>
      <c r="AS242" s="197"/>
      <c r="AT242" s="175"/>
      <c r="AU242" s="175"/>
      <c r="AV242" s="175"/>
      <c r="AW242" s="175"/>
      <c r="AX242" s="175"/>
      <c r="AY242" s="176"/>
      <c r="AZ242" s="176"/>
      <c r="BA242" s="176"/>
      <c r="BB242" s="177"/>
      <c r="BC242" s="37"/>
      <c r="BD242" s="37"/>
      <c r="BE242" s="169"/>
      <c r="BF242" s="169"/>
      <c r="BG242" s="202" t="s">
        <v>2018</v>
      </c>
      <c r="BH242" s="36"/>
      <c r="BI242" s="31" t="s">
        <v>2018</v>
      </c>
      <c r="BJ242" s="48"/>
      <c r="BK242" s="49">
        <v>3</v>
      </c>
    </row>
    <row x14ac:dyDescent="0.25" r="243" customHeight="1" ht="31.5">
      <c r="A243" s="205" t="s">
        <v>387</v>
      </c>
      <c r="B243" s="206" t="s">
        <v>387</v>
      </c>
      <c r="C243" s="202" t="s">
        <v>2020</v>
      </c>
      <c r="D243" s="202" t="s">
        <v>2020</v>
      </c>
      <c r="E243" s="206"/>
      <c r="F243" s="206" t="s">
        <v>703</v>
      </c>
      <c r="G243" s="206" t="s">
        <v>1996</v>
      </c>
      <c r="H243" s="202" t="s">
        <v>386</v>
      </c>
      <c r="I243" s="202"/>
      <c r="J243" s="202"/>
      <c r="K243" s="206"/>
      <c r="L243" s="206"/>
      <c r="M243" s="206" t="s">
        <v>231</v>
      </c>
      <c r="N243" s="206"/>
      <c r="O243" s="199"/>
      <c r="P243" s="206"/>
      <c r="Q243" s="206" t="s">
        <v>1997</v>
      </c>
      <c r="R243" s="202"/>
      <c r="S243" s="202"/>
      <c r="T243" s="202" t="s">
        <v>1998</v>
      </c>
      <c r="U243" s="202" t="s">
        <v>2021</v>
      </c>
      <c r="V243" s="206"/>
      <c r="W243" s="207">
        <v>1</v>
      </c>
      <c r="X243" s="178" t="s">
        <v>1407</v>
      </c>
      <c r="Y243" s="206"/>
      <c r="Z243" s="208">
        <v>1</v>
      </c>
      <c r="AA243" s="202"/>
      <c r="AB243" s="202" t="s">
        <v>2022</v>
      </c>
      <c r="AC243" s="5" t="s">
        <v>24</v>
      </c>
      <c r="AD243" s="206" t="s">
        <v>259</v>
      </c>
      <c r="AE243" s="202" t="s">
        <v>1410</v>
      </c>
      <c r="AF243" s="202" t="s">
        <v>641</v>
      </c>
      <c r="AG243" s="202" t="s">
        <v>91</v>
      </c>
      <c r="AH243" s="202"/>
      <c r="AI243" s="202"/>
      <c r="AJ243" s="202" t="s">
        <v>262</v>
      </c>
      <c r="AK243" s="202" t="s">
        <v>259</v>
      </c>
      <c r="AL243" s="202"/>
      <c r="AM243" s="202"/>
      <c r="AN243" s="202"/>
      <c r="AO243" s="202"/>
      <c r="AP243" s="202"/>
      <c r="AQ243" s="202"/>
      <c r="AR243" s="203" t="s">
        <v>2013</v>
      </c>
      <c r="AS243" s="197"/>
      <c r="AT243" s="175"/>
      <c r="AU243" s="175"/>
      <c r="AV243" s="175"/>
      <c r="AW243" s="175"/>
      <c r="AX243" s="175"/>
      <c r="AY243" s="176"/>
      <c r="AZ243" s="176"/>
      <c r="BA243" s="176"/>
      <c r="BB243" s="177"/>
      <c r="BC243" s="37"/>
      <c r="BD243" s="37"/>
      <c r="BE243" s="169"/>
      <c r="BF243" s="169"/>
      <c r="BG243" s="202" t="s">
        <v>2021</v>
      </c>
      <c r="BH243" s="36"/>
      <c r="BI243" s="31" t="s">
        <v>2021</v>
      </c>
      <c r="BJ243" s="48"/>
      <c r="BK243" s="49">
        <v>3</v>
      </c>
    </row>
    <row x14ac:dyDescent="0.25" r="244" customHeight="1" ht="31.5">
      <c r="A244" s="205" t="s">
        <v>387</v>
      </c>
      <c r="B244" s="206" t="s">
        <v>387</v>
      </c>
      <c r="C244" s="202" t="s">
        <v>2023</v>
      </c>
      <c r="D244" s="202" t="s">
        <v>2023</v>
      </c>
      <c r="E244" s="206"/>
      <c r="F244" s="206" t="s">
        <v>703</v>
      </c>
      <c r="G244" s="206" t="s">
        <v>1996</v>
      </c>
      <c r="H244" s="202" t="s">
        <v>386</v>
      </c>
      <c r="I244" s="202"/>
      <c r="J244" s="202"/>
      <c r="K244" s="206"/>
      <c r="L244" s="206"/>
      <c r="M244" s="206" t="s">
        <v>231</v>
      </c>
      <c r="N244" s="206"/>
      <c r="O244" s="199"/>
      <c r="P244" s="206"/>
      <c r="Q244" s="206" t="s">
        <v>1997</v>
      </c>
      <c r="R244" s="202"/>
      <c r="S244" s="202"/>
      <c r="T244" s="202" t="s">
        <v>1998</v>
      </c>
      <c r="U244" s="202" t="s">
        <v>2024</v>
      </c>
      <c r="V244" s="206"/>
      <c r="W244" s="207">
        <v>1</v>
      </c>
      <c r="X244" s="178" t="s">
        <v>1407</v>
      </c>
      <c r="Y244" s="206"/>
      <c r="Z244" s="208">
        <v>0</v>
      </c>
      <c r="AA244" s="202"/>
      <c r="AB244" s="202" t="s">
        <v>2025</v>
      </c>
      <c r="AC244" s="5" t="s">
        <v>24</v>
      </c>
      <c r="AD244" s="206" t="s">
        <v>259</v>
      </c>
      <c r="AE244" s="202" t="s">
        <v>1410</v>
      </c>
      <c r="AF244" s="202" t="s">
        <v>664</v>
      </c>
      <c r="AG244" s="202" t="s">
        <v>91</v>
      </c>
      <c r="AH244" s="202"/>
      <c r="AI244" s="202"/>
      <c r="AJ244" s="202" t="s">
        <v>262</v>
      </c>
      <c r="AK244" s="202" t="s">
        <v>259</v>
      </c>
      <c r="AL244" s="202"/>
      <c r="AM244" s="202"/>
      <c r="AN244" s="202"/>
      <c r="AO244" s="202"/>
      <c r="AP244" s="202"/>
      <c r="AQ244" s="202"/>
      <c r="AR244" s="203" t="s">
        <v>2013</v>
      </c>
      <c r="AS244" s="197"/>
      <c r="AT244" s="175"/>
      <c r="AU244" s="175"/>
      <c r="AV244" s="175"/>
      <c r="AW244" s="175"/>
      <c r="AX244" s="175"/>
      <c r="AY244" s="176"/>
      <c r="AZ244" s="176"/>
      <c r="BA244" s="176"/>
      <c r="BB244" s="177"/>
      <c r="BC244" s="37"/>
      <c r="BD244" s="37"/>
      <c r="BE244" s="169"/>
      <c r="BF244" s="169"/>
      <c r="BG244" s="202" t="s">
        <v>2024</v>
      </c>
      <c r="BH244" s="36"/>
      <c r="BI244" s="31" t="s">
        <v>2024</v>
      </c>
      <c r="BJ244" s="48"/>
      <c r="BK244" s="49">
        <v>3</v>
      </c>
    </row>
    <row x14ac:dyDescent="0.25" r="245" customHeight="1" ht="31.5">
      <c r="A245" s="156" t="s">
        <v>2026</v>
      </c>
      <c r="B245" s="157" t="s">
        <v>2027</v>
      </c>
      <c r="C245" s="158" t="s">
        <v>2028</v>
      </c>
      <c r="D245" s="158" t="s">
        <v>2029</v>
      </c>
      <c r="E245" s="157"/>
      <c r="F245" s="157" t="s">
        <v>602</v>
      </c>
      <c r="G245" s="157" t="s">
        <v>589</v>
      </c>
      <c r="H245" s="158" t="s">
        <v>386</v>
      </c>
      <c r="I245" s="159"/>
      <c r="J245" s="159"/>
      <c r="K245" s="157"/>
      <c r="L245" s="157"/>
      <c r="M245" s="157" t="s">
        <v>231</v>
      </c>
      <c r="N245" s="157" t="s">
        <v>590</v>
      </c>
      <c r="O245" s="160"/>
      <c r="P245" s="158"/>
      <c r="Q245" s="161" t="s">
        <v>251</v>
      </c>
      <c r="R245" s="158" t="s">
        <v>591</v>
      </c>
      <c r="S245" s="158" t="s">
        <v>592</v>
      </c>
      <c r="T245" s="158" t="s">
        <v>2030</v>
      </c>
      <c r="U245" s="158" t="s">
        <v>2031</v>
      </c>
      <c r="V245" s="157"/>
      <c r="W245" s="162">
        <v>0</v>
      </c>
      <c r="X245" s="158"/>
      <c r="Y245" s="157"/>
      <c r="Z245" s="162">
        <v>0</v>
      </c>
      <c r="AA245" s="158"/>
      <c r="AB245" s="158" t="s">
        <v>2032</v>
      </c>
      <c r="AC245" s="157" t="s">
        <v>88</v>
      </c>
      <c r="AD245" s="158"/>
      <c r="AE245" s="164"/>
      <c r="AF245" s="158"/>
      <c r="AG245" s="158" t="s">
        <v>23</v>
      </c>
      <c r="AH245" s="158"/>
      <c r="AI245" s="158"/>
      <c r="AJ245" s="158" t="s">
        <v>605</v>
      </c>
      <c r="AK245" s="158" t="s">
        <v>596</v>
      </c>
      <c r="AL245" s="158"/>
      <c r="AM245" s="158"/>
      <c r="AN245" s="158"/>
      <c r="AO245" s="158"/>
      <c r="AP245" s="158"/>
      <c r="AQ245" s="158"/>
      <c r="AR245" s="158"/>
      <c r="AS245" s="156"/>
      <c r="AT245" s="165"/>
      <c r="AU245" s="165"/>
      <c r="AV245" s="165"/>
      <c r="AW245" s="165"/>
      <c r="AX245" s="165"/>
      <c r="AY245" s="162">
        <v>2</v>
      </c>
      <c r="AZ245" s="166"/>
      <c r="BA245" s="166"/>
      <c r="BB245" s="161"/>
      <c r="BC245" s="165"/>
      <c r="BD245" s="165"/>
      <c r="BE245" s="157"/>
      <c r="BF245" s="157" t="s">
        <v>2027</v>
      </c>
      <c r="BG245" s="56"/>
      <c r="BH245" s="56"/>
      <c r="BI245" s="56"/>
      <c r="BJ245" s="209"/>
      <c r="BK245" s="156"/>
    </row>
    <row x14ac:dyDescent="0.25" r="246" customHeight="1" ht="31.5">
      <c r="A246" s="118">
        <v>11104</v>
      </c>
      <c r="B246" s="119" t="s">
        <v>2033</v>
      </c>
      <c r="C246" s="191" t="s">
        <v>2034</v>
      </c>
      <c r="D246" s="191" t="s">
        <v>2035</v>
      </c>
      <c r="E246" s="119"/>
      <c r="F246" s="119" t="s">
        <v>226</v>
      </c>
      <c r="G246" s="119" t="s">
        <v>589</v>
      </c>
      <c r="H246" s="191" t="s">
        <v>386</v>
      </c>
      <c r="I246" s="191"/>
      <c r="J246" s="191"/>
      <c r="K246" s="119"/>
      <c r="L246" s="119"/>
      <c r="M246" s="119" t="s">
        <v>231</v>
      </c>
      <c r="N246" s="119" t="s">
        <v>1278</v>
      </c>
      <c r="O246" s="192"/>
      <c r="P246" s="191" t="s">
        <v>2036</v>
      </c>
      <c r="Q246" s="46" t="s">
        <v>824</v>
      </c>
      <c r="R246" s="191" t="s">
        <v>729</v>
      </c>
      <c r="S246" s="191"/>
      <c r="T246" s="191" t="s">
        <v>2037</v>
      </c>
      <c r="U246" s="191" t="s">
        <v>2038</v>
      </c>
      <c r="V246" s="119"/>
      <c r="W246" s="210">
        <v>1</v>
      </c>
      <c r="X246" s="191" t="s">
        <v>594</v>
      </c>
      <c r="Y246" s="119" t="s">
        <v>256</v>
      </c>
      <c r="Z246" s="210">
        <v>0</v>
      </c>
      <c r="AA246" s="191"/>
      <c r="AB246" s="191" t="s">
        <v>2039</v>
      </c>
      <c r="AC246" s="119" t="s">
        <v>52</v>
      </c>
      <c r="AD246" s="191" t="s">
        <v>596</v>
      </c>
      <c r="AE246" s="194" t="s">
        <v>905</v>
      </c>
      <c r="AF246" s="191" t="s">
        <v>1315</v>
      </c>
      <c r="AG246" s="191"/>
      <c r="AH246" s="191"/>
      <c r="AI246" s="191"/>
      <c r="AJ246" s="191" t="s">
        <v>605</v>
      </c>
      <c r="AK246" s="191" t="s">
        <v>596</v>
      </c>
      <c r="AL246" s="191"/>
      <c r="AM246" s="191"/>
      <c r="AN246" s="191"/>
      <c r="AO246" s="191"/>
      <c r="AP246" s="191"/>
      <c r="AQ246" s="191"/>
      <c r="AR246" s="191"/>
      <c r="AS246" s="118"/>
      <c r="AT246" s="121"/>
      <c r="AU246" s="121"/>
      <c r="AV246" s="121"/>
      <c r="AW246" s="121"/>
      <c r="AX246" s="121"/>
      <c r="AY246" s="120"/>
      <c r="AZ246" s="120"/>
      <c r="BA246" s="120"/>
      <c r="BB246" s="46"/>
      <c r="BC246" s="121"/>
      <c r="BD246" s="121"/>
      <c r="BE246" s="5"/>
      <c r="BF246" s="119" t="s">
        <v>2040</v>
      </c>
      <c r="BG246" s="211" t="s">
        <v>2041</v>
      </c>
      <c r="BH246" s="47"/>
      <c r="BI246" s="31" t="s">
        <v>2041</v>
      </c>
      <c r="BJ246" s="48"/>
      <c r="BK246" s="49">
        <v>1</v>
      </c>
    </row>
    <row x14ac:dyDescent="0.25" r="247" customHeight="1" ht="31.5">
      <c r="A247" s="118">
        <v>11102</v>
      </c>
      <c r="B247" s="119" t="s">
        <v>2042</v>
      </c>
      <c r="C247" s="191" t="s">
        <v>2043</v>
      </c>
      <c r="D247" s="191" t="s">
        <v>2044</v>
      </c>
      <c r="E247" s="119"/>
      <c r="F247" s="119" t="s">
        <v>226</v>
      </c>
      <c r="G247" s="119" t="s">
        <v>589</v>
      </c>
      <c r="H247" s="191" t="s">
        <v>386</v>
      </c>
      <c r="I247" s="191"/>
      <c r="J247" s="191"/>
      <c r="K247" s="119"/>
      <c r="L247" s="119"/>
      <c r="M247" s="119" t="s">
        <v>231</v>
      </c>
      <c r="N247" s="119" t="s">
        <v>1278</v>
      </c>
      <c r="O247" s="192"/>
      <c r="P247" s="191" t="s">
        <v>2045</v>
      </c>
      <c r="Q247" s="46" t="s">
        <v>824</v>
      </c>
      <c r="R247" s="191" t="s">
        <v>729</v>
      </c>
      <c r="S247" s="191"/>
      <c r="T247" s="191" t="s">
        <v>2037</v>
      </c>
      <c r="U247" s="191" t="s">
        <v>2046</v>
      </c>
      <c r="V247" s="119"/>
      <c r="W247" s="210">
        <v>1</v>
      </c>
      <c r="X247" s="191" t="s">
        <v>594</v>
      </c>
      <c r="Y247" s="119" t="s">
        <v>256</v>
      </c>
      <c r="Z247" s="210">
        <v>0</v>
      </c>
      <c r="AA247" s="191"/>
      <c r="AB247" s="191" t="s">
        <v>2047</v>
      </c>
      <c r="AC247" s="119" t="s">
        <v>52</v>
      </c>
      <c r="AD247" s="191" t="s">
        <v>596</v>
      </c>
      <c r="AE247" s="194" t="s">
        <v>905</v>
      </c>
      <c r="AF247" s="191" t="s">
        <v>1291</v>
      </c>
      <c r="AG247" s="191"/>
      <c r="AH247" s="191"/>
      <c r="AI247" s="191"/>
      <c r="AJ247" s="191" t="s">
        <v>605</v>
      </c>
      <c r="AK247" s="191" t="s">
        <v>596</v>
      </c>
      <c r="AL247" s="191"/>
      <c r="AM247" s="191"/>
      <c r="AN247" s="191"/>
      <c r="AO247" s="191"/>
      <c r="AP247" s="191"/>
      <c r="AQ247" s="191"/>
      <c r="AR247" s="191"/>
      <c r="AS247" s="118"/>
      <c r="AT247" s="121"/>
      <c r="AU247" s="121"/>
      <c r="AV247" s="121"/>
      <c r="AW247" s="121"/>
      <c r="AX247" s="121"/>
      <c r="AY247" s="120"/>
      <c r="AZ247" s="120"/>
      <c r="BA247" s="120"/>
      <c r="BB247" s="46"/>
      <c r="BC247" s="121"/>
      <c r="BD247" s="121"/>
      <c r="BE247" s="5"/>
      <c r="BF247" s="119" t="s">
        <v>2048</v>
      </c>
      <c r="BG247" s="211" t="s">
        <v>2049</v>
      </c>
      <c r="BH247" s="47"/>
      <c r="BI247" s="31" t="s">
        <v>2049</v>
      </c>
      <c r="BJ247" s="48"/>
      <c r="BK247" s="49">
        <v>1</v>
      </c>
    </row>
    <row x14ac:dyDescent="0.25" r="248" customHeight="1" ht="31.5">
      <c r="A248" s="118">
        <v>11105</v>
      </c>
      <c r="B248" s="119" t="s">
        <v>2050</v>
      </c>
      <c r="C248" s="191" t="s">
        <v>2051</v>
      </c>
      <c r="D248" s="191" t="s">
        <v>2052</v>
      </c>
      <c r="E248" s="119"/>
      <c r="F248" s="119" t="s">
        <v>577</v>
      </c>
      <c r="G248" s="119" t="s">
        <v>589</v>
      </c>
      <c r="H248" s="191" t="s">
        <v>386</v>
      </c>
      <c r="I248" s="191"/>
      <c r="J248" s="191"/>
      <c r="K248" s="119"/>
      <c r="L248" s="119"/>
      <c r="M248" s="119" t="s">
        <v>231</v>
      </c>
      <c r="N248" s="119" t="s">
        <v>1278</v>
      </c>
      <c r="O248" s="192"/>
      <c r="P248" s="191" t="s">
        <v>2053</v>
      </c>
      <c r="Q248" s="46" t="s">
        <v>824</v>
      </c>
      <c r="R248" s="191" t="s">
        <v>729</v>
      </c>
      <c r="S248" s="191"/>
      <c r="T248" s="191" t="s">
        <v>2037</v>
      </c>
      <c r="U248" s="191" t="s">
        <v>2054</v>
      </c>
      <c r="V248" s="119"/>
      <c r="W248" s="210">
        <v>1</v>
      </c>
      <c r="X248" s="191" t="s">
        <v>594</v>
      </c>
      <c r="Y248" s="119" t="s">
        <v>256</v>
      </c>
      <c r="Z248" s="210">
        <v>0</v>
      </c>
      <c r="AA248" s="191"/>
      <c r="AB248" s="191" t="s">
        <v>2055</v>
      </c>
      <c r="AC248" s="119" t="s">
        <v>38</v>
      </c>
      <c r="AD248" s="191" t="s">
        <v>596</v>
      </c>
      <c r="AE248" s="194" t="s">
        <v>905</v>
      </c>
      <c r="AF248" s="191" t="s">
        <v>1307</v>
      </c>
      <c r="AG248" s="191"/>
      <c r="AH248" s="191"/>
      <c r="AI248" s="191"/>
      <c r="AJ248" s="191" t="s">
        <v>605</v>
      </c>
      <c r="AK248" s="191" t="s">
        <v>596</v>
      </c>
      <c r="AL248" s="191"/>
      <c r="AM248" s="191"/>
      <c r="AN248" s="191"/>
      <c r="AO248" s="191"/>
      <c r="AP248" s="191"/>
      <c r="AQ248" s="191"/>
      <c r="AR248" s="191"/>
      <c r="AS248" s="118"/>
      <c r="AT248" s="121"/>
      <c r="AU248" s="121"/>
      <c r="AV248" s="121"/>
      <c r="AW248" s="121"/>
      <c r="AX248" s="121"/>
      <c r="AY248" s="212"/>
      <c r="AZ248" s="120"/>
      <c r="BA248" s="120"/>
      <c r="BB248" s="46"/>
      <c r="BC248" s="121"/>
      <c r="BD248" s="121"/>
      <c r="BE248" s="5"/>
      <c r="BF248" s="119" t="s">
        <v>2056</v>
      </c>
      <c r="BG248" s="191" t="s">
        <v>2057</v>
      </c>
      <c r="BH248" s="31"/>
      <c r="BI248" s="31" t="s">
        <v>2057</v>
      </c>
      <c r="BJ248" s="48"/>
      <c r="BK248" s="49">
        <v>1</v>
      </c>
    </row>
    <row x14ac:dyDescent="0.25" r="249" customHeight="1" ht="31.5">
      <c r="A249" s="118">
        <v>11103</v>
      </c>
      <c r="B249" s="119" t="s">
        <v>2058</v>
      </c>
      <c r="C249" s="191" t="s">
        <v>2059</v>
      </c>
      <c r="D249" s="191" t="s">
        <v>2060</v>
      </c>
      <c r="E249" s="119"/>
      <c r="F249" s="119" t="s">
        <v>577</v>
      </c>
      <c r="G249" s="119" t="s">
        <v>589</v>
      </c>
      <c r="H249" s="191" t="s">
        <v>386</v>
      </c>
      <c r="I249" s="191"/>
      <c r="J249" s="191"/>
      <c r="K249" s="119"/>
      <c r="L249" s="119"/>
      <c r="M249" s="119" t="s">
        <v>231</v>
      </c>
      <c r="N249" s="119" t="s">
        <v>1278</v>
      </c>
      <c r="O249" s="192"/>
      <c r="P249" s="191" t="s">
        <v>2061</v>
      </c>
      <c r="Q249" s="46" t="s">
        <v>824</v>
      </c>
      <c r="R249" s="191" t="s">
        <v>729</v>
      </c>
      <c r="S249" s="191"/>
      <c r="T249" s="191" t="s">
        <v>2037</v>
      </c>
      <c r="U249" s="191" t="s">
        <v>2062</v>
      </c>
      <c r="V249" s="119"/>
      <c r="W249" s="210">
        <v>1</v>
      </c>
      <c r="X249" s="191" t="s">
        <v>594</v>
      </c>
      <c r="Y249" s="119" t="s">
        <v>256</v>
      </c>
      <c r="Z249" s="210">
        <v>0</v>
      </c>
      <c r="AA249" s="191"/>
      <c r="AB249" s="191" t="s">
        <v>2063</v>
      </c>
      <c r="AC249" s="119" t="s">
        <v>38</v>
      </c>
      <c r="AD249" s="191" t="s">
        <v>596</v>
      </c>
      <c r="AE249" s="194" t="s">
        <v>905</v>
      </c>
      <c r="AF249" s="191" t="s">
        <v>1283</v>
      </c>
      <c r="AG249" s="191"/>
      <c r="AH249" s="191"/>
      <c r="AI249" s="191"/>
      <c r="AJ249" s="191" t="s">
        <v>605</v>
      </c>
      <c r="AK249" s="191" t="s">
        <v>596</v>
      </c>
      <c r="AL249" s="191"/>
      <c r="AM249" s="191"/>
      <c r="AN249" s="191"/>
      <c r="AO249" s="191"/>
      <c r="AP249" s="191"/>
      <c r="AQ249" s="191"/>
      <c r="AR249" s="191"/>
      <c r="AS249" s="118"/>
      <c r="AT249" s="121"/>
      <c r="AU249" s="121"/>
      <c r="AV249" s="121"/>
      <c r="AW249" s="121"/>
      <c r="AX249" s="121"/>
      <c r="AY249" s="212"/>
      <c r="AZ249" s="120"/>
      <c r="BA249" s="120"/>
      <c r="BB249" s="46"/>
      <c r="BC249" s="121"/>
      <c r="BD249" s="121"/>
      <c r="BE249" s="5"/>
      <c r="BF249" s="119" t="s">
        <v>2064</v>
      </c>
      <c r="BG249" s="191" t="s">
        <v>2065</v>
      </c>
      <c r="BH249" s="31"/>
      <c r="BI249" s="31" t="s">
        <v>2065</v>
      </c>
      <c r="BJ249" s="48"/>
      <c r="BK249" s="49">
        <v>1</v>
      </c>
    </row>
    <row x14ac:dyDescent="0.25" r="250" customHeight="1" ht="31.5">
      <c r="A250" s="156" t="s">
        <v>2066</v>
      </c>
      <c r="B250" s="157" t="s">
        <v>2067</v>
      </c>
      <c r="C250" s="158" t="s">
        <v>2068</v>
      </c>
      <c r="D250" s="158" t="s">
        <v>2069</v>
      </c>
      <c r="E250" s="157"/>
      <c r="F250" s="157" t="s">
        <v>602</v>
      </c>
      <c r="G250" s="157" t="s">
        <v>589</v>
      </c>
      <c r="H250" s="158" t="s">
        <v>386</v>
      </c>
      <c r="I250" s="158"/>
      <c r="J250" s="158"/>
      <c r="K250" s="157"/>
      <c r="L250" s="157"/>
      <c r="M250" s="157" t="s">
        <v>231</v>
      </c>
      <c r="N250" s="157" t="s">
        <v>590</v>
      </c>
      <c r="O250" s="160"/>
      <c r="P250" s="158"/>
      <c r="Q250" s="161" t="s">
        <v>251</v>
      </c>
      <c r="R250" s="158" t="s">
        <v>591</v>
      </c>
      <c r="S250" s="158" t="s">
        <v>592</v>
      </c>
      <c r="T250" s="158"/>
      <c r="U250" s="158" t="s">
        <v>1896</v>
      </c>
      <c r="V250" s="157"/>
      <c r="W250" s="162">
        <v>1</v>
      </c>
      <c r="X250" s="158" t="s">
        <v>594</v>
      </c>
      <c r="Y250" s="157"/>
      <c r="Z250" s="162">
        <v>0</v>
      </c>
      <c r="AA250" s="158"/>
      <c r="AB250" s="158" t="s">
        <v>2070</v>
      </c>
      <c r="AC250" s="157" t="s">
        <v>88</v>
      </c>
      <c r="AD250" s="158" t="s">
        <v>596</v>
      </c>
      <c r="AE250" s="164" t="s">
        <v>604</v>
      </c>
      <c r="AF250" s="158" t="s">
        <v>292</v>
      </c>
      <c r="AG250" s="158" t="s">
        <v>106</v>
      </c>
      <c r="AH250" s="158"/>
      <c r="AI250" s="158"/>
      <c r="AJ250" s="158" t="s">
        <v>605</v>
      </c>
      <c r="AK250" s="158" t="s">
        <v>596</v>
      </c>
      <c r="AL250" s="158"/>
      <c r="AM250" s="158"/>
      <c r="AN250" s="158"/>
      <c r="AO250" s="158"/>
      <c r="AP250" s="158"/>
      <c r="AQ250" s="158"/>
      <c r="AR250" s="158"/>
      <c r="AS250" s="156"/>
      <c r="AT250" s="165"/>
      <c r="AU250" s="165"/>
      <c r="AV250" s="165"/>
      <c r="AW250" s="165"/>
      <c r="AX250" s="165"/>
      <c r="AY250" s="162">
        <v>9</v>
      </c>
      <c r="AZ250" s="166"/>
      <c r="BA250" s="166"/>
      <c r="BB250" s="161"/>
      <c r="BC250" s="165"/>
      <c r="BD250" s="165"/>
      <c r="BE250" s="157"/>
      <c r="BF250" s="157" t="s">
        <v>2067</v>
      </c>
      <c r="BG250" s="56" t="s">
        <v>2068</v>
      </c>
      <c r="BH250" s="56"/>
      <c r="BI250" s="158" t="s">
        <v>2068</v>
      </c>
      <c r="BJ250" s="158"/>
      <c r="BK250" s="156">
        <v>3</v>
      </c>
    </row>
    <row x14ac:dyDescent="0.25" r="251" customHeight="1" ht="31.5">
      <c r="A251" s="30" t="s">
        <v>2071</v>
      </c>
      <c r="B251" s="5" t="s">
        <v>2072</v>
      </c>
      <c r="C251" s="31" t="s">
        <v>2073</v>
      </c>
      <c r="D251" s="31" t="s">
        <v>2074</v>
      </c>
      <c r="E251" s="5"/>
      <c r="F251" s="5" t="s">
        <v>602</v>
      </c>
      <c r="G251" s="5" t="s">
        <v>589</v>
      </c>
      <c r="H251" s="31" t="s">
        <v>386</v>
      </c>
      <c r="I251" s="31"/>
      <c r="J251" s="31"/>
      <c r="K251" s="5"/>
      <c r="L251" s="5"/>
      <c r="M251" s="5" t="s">
        <v>231</v>
      </c>
      <c r="N251" s="5" t="s">
        <v>590</v>
      </c>
      <c r="O251" s="33"/>
      <c r="P251" s="31"/>
      <c r="Q251" s="1" t="s">
        <v>251</v>
      </c>
      <c r="R251" s="31" t="s">
        <v>591</v>
      </c>
      <c r="S251" s="31" t="s">
        <v>592</v>
      </c>
      <c r="T251" s="31"/>
      <c r="U251" s="55" t="s">
        <v>2073</v>
      </c>
      <c r="V251" s="5"/>
      <c r="W251" s="40">
        <v>1</v>
      </c>
      <c r="X251" s="41" t="s">
        <v>594</v>
      </c>
      <c r="Y251" s="42"/>
      <c r="Z251" s="34">
        <v>0</v>
      </c>
      <c r="AA251" s="31"/>
      <c r="AB251" s="31" t="s">
        <v>2075</v>
      </c>
      <c r="AC251" s="5" t="s">
        <v>88</v>
      </c>
      <c r="AD251" s="31" t="s">
        <v>596</v>
      </c>
      <c r="AE251" s="36" t="s">
        <v>604</v>
      </c>
      <c r="AF251" s="31" t="s">
        <v>292</v>
      </c>
      <c r="AG251" s="31" t="s">
        <v>114</v>
      </c>
      <c r="AH251" s="31"/>
      <c r="AI251" s="31"/>
      <c r="AJ251" s="31" t="s">
        <v>605</v>
      </c>
      <c r="AK251" s="31" t="s">
        <v>596</v>
      </c>
      <c r="AL251" s="31"/>
      <c r="AM251" s="31"/>
      <c r="AN251" s="31"/>
      <c r="AO251" s="31"/>
      <c r="AP251" s="31"/>
      <c r="AQ251" s="31"/>
      <c r="AR251" s="31"/>
      <c r="AS251" s="30"/>
      <c r="AT251" s="37"/>
      <c r="AU251" s="37"/>
      <c r="AV251" s="37"/>
      <c r="AW251" s="37"/>
      <c r="AX251" s="37"/>
      <c r="AY251" s="34">
        <v>10</v>
      </c>
      <c r="AZ251" s="38"/>
      <c r="BA251" s="38"/>
      <c r="BB251" s="46"/>
      <c r="BC251" s="37"/>
      <c r="BD251" s="37"/>
      <c r="BE251" s="5"/>
      <c r="BF251" s="5" t="s">
        <v>2072</v>
      </c>
      <c r="BG251" s="59" t="s">
        <v>2073</v>
      </c>
      <c r="BH251" s="47"/>
      <c r="BI251" s="31" t="s">
        <v>2073</v>
      </c>
      <c r="BJ251" s="48"/>
      <c r="BK251" s="49">
        <v>2</v>
      </c>
    </row>
    <row x14ac:dyDescent="0.25" r="252" customHeight="1" ht="31.5">
      <c r="A252" s="30" t="s">
        <v>2076</v>
      </c>
      <c r="B252" s="5" t="s">
        <v>2077</v>
      </c>
      <c r="C252" s="31" t="s">
        <v>2078</v>
      </c>
      <c r="D252" s="31" t="s">
        <v>2079</v>
      </c>
      <c r="E252" s="5"/>
      <c r="F252" s="5" t="s">
        <v>602</v>
      </c>
      <c r="G252" s="5" t="s">
        <v>589</v>
      </c>
      <c r="H252" s="31" t="s">
        <v>386</v>
      </c>
      <c r="I252" s="32"/>
      <c r="J252" s="32"/>
      <c r="K252" s="5"/>
      <c r="L252" s="5"/>
      <c r="M252" s="5" t="s">
        <v>231</v>
      </c>
      <c r="N252" s="5" t="s">
        <v>590</v>
      </c>
      <c r="O252" s="33"/>
      <c r="P252" s="31"/>
      <c r="Q252" s="1" t="s">
        <v>251</v>
      </c>
      <c r="R252" s="31" t="s">
        <v>591</v>
      </c>
      <c r="S252" s="31" t="s">
        <v>592</v>
      </c>
      <c r="T252" s="31"/>
      <c r="U252" s="55" t="s">
        <v>2080</v>
      </c>
      <c r="V252" s="5" t="s">
        <v>2081</v>
      </c>
      <c r="W252" s="40">
        <v>1</v>
      </c>
      <c r="X252" s="41" t="s">
        <v>594</v>
      </c>
      <c r="Y252" s="42"/>
      <c r="Z252" s="34">
        <v>0</v>
      </c>
      <c r="AA252" s="31"/>
      <c r="AB252" s="31" t="s">
        <v>2082</v>
      </c>
      <c r="AC252" s="5" t="s">
        <v>88</v>
      </c>
      <c r="AD252" s="31" t="s">
        <v>596</v>
      </c>
      <c r="AE252" s="36" t="s">
        <v>604</v>
      </c>
      <c r="AF252" s="31" t="s">
        <v>292</v>
      </c>
      <c r="AG252" s="31" t="s">
        <v>63</v>
      </c>
      <c r="AH252" s="31"/>
      <c r="AI252" s="31"/>
      <c r="AJ252" s="31" t="s">
        <v>605</v>
      </c>
      <c r="AK252" s="31" t="s">
        <v>596</v>
      </c>
      <c r="AL252" s="31"/>
      <c r="AM252" s="31"/>
      <c r="AN252" s="31"/>
      <c r="AO252" s="31"/>
      <c r="AP252" s="31"/>
      <c r="AQ252" s="31"/>
      <c r="AR252" s="31"/>
      <c r="AS252" s="30"/>
      <c r="AT252" s="37"/>
      <c r="AU252" s="37"/>
      <c r="AV252" s="37"/>
      <c r="AW252" s="37"/>
      <c r="AX252" s="37"/>
      <c r="AY252" s="34">
        <v>6</v>
      </c>
      <c r="AZ252" s="38"/>
      <c r="BA252" s="38"/>
      <c r="BB252" s="46"/>
      <c r="BC252" s="37"/>
      <c r="BD252" s="37"/>
      <c r="BE252" s="5"/>
      <c r="BF252" s="5" t="s">
        <v>2077</v>
      </c>
      <c r="BG252" s="59" t="s">
        <v>2083</v>
      </c>
      <c r="BH252" s="47"/>
      <c r="BI252" s="31" t="s">
        <v>2083</v>
      </c>
      <c r="BJ252" s="48"/>
      <c r="BK252" s="49">
        <v>3</v>
      </c>
    </row>
    <row x14ac:dyDescent="0.25" r="253" customHeight="1" ht="50.25">
      <c r="A253" s="99" t="s">
        <v>2084</v>
      </c>
      <c r="B253" s="100" t="s">
        <v>2085</v>
      </c>
      <c r="C253" s="101" t="s">
        <v>2086</v>
      </c>
      <c r="D253" s="101" t="s">
        <v>2087</v>
      </c>
      <c r="E253" s="100"/>
      <c r="F253" s="100" t="s">
        <v>226</v>
      </c>
      <c r="G253" s="100" t="s">
        <v>589</v>
      </c>
      <c r="H253" s="101" t="s">
        <v>386</v>
      </c>
      <c r="I253" s="101"/>
      <c r="J253" s="101"/>
      <c r="K253" s="100"/>
      <c r="L253" s="100"/>
      <c r="M253" s="100" t="s">
        <v>231</v>
      </c>
      <c r="N253" s="100" t="s">
        <v>726</v>
      </c>
      <c r="O253" s="115"/>
      <c r="P253" s="101" t="s">
        <v>2088</v>
      </c>
      <c r="Q253" s="102" t="s">
        <v>824</v>
      </c>
      <c r="R253" s="101" t="s">
        <v>729</v>
      </c>
      <c r="S253" s="101" t="s">
        <v>2089</v>
      </c>
      <c r="T253" s="101"/>
      <c r="U253" s="101" t="s">
        <v>2090</v>
      </c>
      <c r="V253" s="100"/>
      <c r="W253" s="103">
        <v>1</v>
      </c>
      <c r="X253" s="101"/>
      <c r="Y253" s="100" t="s">
        <v>256</v>
      </c>
      <c r="Z253" s="103">
        <v>0</v>
      </c>
      <c r="AA253" s="101"/>
      <c r="AB253" s="101" t="s">
        <v>2091</v>
      </c>
      <c r="AC253" s="100" t="s">
        <v>38</v>
      </c>
      <c r="AD253" s="101" t="s">
        <v>596</v>
      </c>
      <c r="AE253" s="117"/>
      <c r="AF253" s="101"/>
      <c r="AG253" s="101"/>
      <c r="AH253" s="101"/>
      <c r="AI253" s="101"/>
      <c r="AJ253" s="101"/>
      <c r="AK253" s="101"/>
      <c r="AL253" s="101"/>
      <c r="AM253" s="101"/>
      <c r="AN253" s="101"/>
      <c r="AO253" s="101"/>
      <c r="AP253" s="101"/>
      <c r="AQ253" s="101"/>
      <c r="AR253" s="101"/>
      <c r="AS253" s="99"/>
      <c r="AT253" s="98"/>
      <c r="AU253" s="98"/>
      <c r="AV253" s="98"/>
      <c r="AW253" s="98"/>
      <c r="AX253" s="98"/>
      <c r="AY253" s="103">
        <v>56</v>
      </c>
      <c r="AZ253" s="104"/>
      <c r="BA253" s="104"/>
      <c r="BB253" s="102"/>
      <c r="BC253" s="98"/>
      <c r="BD253" s="98"/>
      <c r="BE253" s="100"/>
      <c r="BF253" s="100" t="s">
        <v>2092</v>
      </c>
      <c r="BG253" s="213" t="s">
        <v>2093</v>
      </c>
      <c r="BH253" s="213"/>
      <c r="BI253" s="101" t="s">
        <v>2093</v>
      </c>
      <c r="BJ253" s="101"/>
      <c r="BK253" s="99"/>
    </row>
    <row x14ac:dyDescent="0.25" r="254" customHeight="1" ht="54.75">
      <c r="A254" s="99" t="s">
        <v>2094</v>
      </c>
      <c r="B254" s="100" t="s">
        <v>2095</v>
      </c>
      <c r="C254" s="101" t="s">
        <v>2096</v>
      </c>
      <c r="D254" s="101" t="s">
        <v>2097</v>
      </c>
      <c r="E254" s="100"/>
      <c r="F254" s="100" t="s">
        <v>577</v>
      </c>
      <c r="G254" s="100" t="s">
        <v>589</v>
      </c>
      <c r="H254" s="101" t="s">
        <v>386</v>
      </c>
      <c r="I254" s="101"/>
      <c r="J254" s="101"/>
      <c r="K254" s="100"/>
      <c r="L254" s="100"/>
      <c r="M254" s="100" t="s">
        <v>231</v>
      </c>
      <c r="N254" s="100" t="s">
        <v>726</v>
      </c>
      <c r="O254" s="115"/>
      <c r="P254" s="101" t="s">
        <v>2098</v>
      </c>
      <c r="Q254" s="102" t="s">
        <v>824</v>
      </c>
      <c r="R254" s="101" t="s">
        <v>729</v>
      </c>
      <c r="S254" s="101" t="s">
        <v>2089</v>
      </c>
      <c r="T254" s="101"/>
      <c r="U254" s="101" t="s">
        <v>2099</v>
      </c>
      <c r="V254" s="100"/>
      <c r="W254" s="103">
        <v>1</v>
      </c>
      <c r="X254" s="101"/>
      <c r="Y254" s="100" t="s">
        <v>2100</v>
      </c>
      <c r="Z254" s="103">
        <v>0</v>
      </c>
      <c r="AA254" s="101"/>
      <c r="AB254" s="101" t="s">
        <v>2101</v>
      </c>
      <c r="AC254" s="100" t="s">
        <v>52</v>
      </c>
      <c r="AD254" s="101" t="s">
        <v>596</v>
      </c>
      <c r="AE254" s="117"/>
      <c r="AF254" s="101"/>
      <c r="AG254" s="101"/>
      <c r="AH254" s="101"/>
      <c r="AI254" s="101"/>
      <c r="AJ254" s="101"/>
      <c r="AK254" s="101"/>
      <c r="AL254" s="101"/>
      <c r="AM254" s="101"/>
      <c r="AN254" s="101"/>
      <c r="AO254" s="101"/>
      <c r="AP254" s="101"/>
      <c r="AQ254" s="101"/>
      <c r="AR254" s="101"/>
      <c r="AS254" s="99"/>
      <c r="AT254" s="98"/>
      <c r="AU254" s="98"/>
      <c r="AV254" s="98"/>
      <c r="AW254" s="98"/>
      <c r="AX254" s="98"/>
      <c r="AY254" s="103">
        <v>55</v>
      </c>
      <c r="AZ254" s="104"/>
      <c r="BA254" s="104"/>
      <c r="BB254" s="102"/>
      <c r="BC254" s="98"/>
      <c r="BD254" s="98"/>
      <c r="BE254" s="100"/>
      <c r="BF254" s="100" t="s">
        <v>2095</v>
      </c>
      <c r="BG254" s="213" t="s">
        <v>2102</v>
      </c>
      <c r="BH254" s="213"/>
      <c r="BI254" s="101" t="s">
        <v>2102</v>
      </c>
      <c r="BJ254" s="101"/>
      <c r="BK254" s="99"/>
    </row>
    <row x14ac:dyDescent="0.25" r="255" customHeight="1" ht="31.5">
      <c r="A255" s="168" t="s">
        <v>2103</v>
      </c>
      <c r="B255" s="169" t="s">
        <v>2104</v>
      </c>
      <c r="C255" s="36" t="s">
        <v>2105</v>
      </c>
      <c r="D255" s="36" t="s">
        <v>2106</v>
      </c>
      <c r="E255" s="169"/>
      <c r="F255" s="169" t="s">
        <v>577</v>
      </c>
      <c r="G255" s="169" t="s">
        <v>589</v>
      </c>
      <c r="H255" s="36" t="s">
        <v>386</v>
      </c>
      <c r="I255" s="36"/>
      <c r="J255" s="36"/>
      <c r="K255" s="169"/>
      <c r="L255" s="169"/>
      <c r="M255" s="169" t="s">
        <v>231</v>
      </c>
      <c r="N255" s="169" t="s">
        <v>2107</v>
      </c>
      <c r="O255" s="33"/>
      <c r="P255" s="36" t="s">
        <v>2108</v>
      </c>
      <c r="Q255" s="170" t="s">
        <v>728</v>
      </c>
      <c r="R255" s="36" t="s">
        <v>591</v>
      </c>
      <c r="S255" s="36" t="s">
        <v>2109</v>
      </c>
      <c r="T255" s="36"/>
      <c r="U255" s="171" t="s">
        <v>2110</v>
      </c>
      <c r="V255" s="169"/>
      <c r="W255" s="172">
        <v>1</v>
      </c>
      <c r="X255" s="171" t="s">
        <v>594</v>
      </c>
      <c r="Y255" s="173" t="s">
        <v>1192</v>
      </c>
      <c r="Z255" s="179">
        <v>0</v>
      </c>
      <c r="AA255" s="36"/>
      <c r="AB255" s="36" t="s">
        <v>2111</v>
      </c>
      <c r="AC255" s="169" t="s">
        <v>38</v>
      </c>
      <c r="AD255" s="36" t="s">
        <v>596</v>
      </c>
      <c r="AE255" s="36" t="s">
        <v>2112</v>
      </c>
      <c r="AF255" s="36" t="s">
        <v>292</v>
      </c>
      <c r="AG255" s="36" t="s">
        <v>33</v>
      </c>
      <c r="AH255" s="31" t="s">
        <v>41</v>
      </c>
      <c r="AI255" s="36"/>
      <c r="AJ255" s="36" t="s">
        <v>605</v>
      </c>
      <c r="AK255" s="36" t="s">
        <v>596</v>
      </c>
      <c r="AL255" s="36"/>
      <c r="AM255" s="36"/>
      <c r="AN255" s="36"/>
      <c r="AO255" s="36"/>
      <c r="AP255" s="36"/>
      <c r="AQ255" s="36"/>
      <c r="AR255" s="36"/>
      <c r="AS255" s="168"/>
      <c r="AT255" s="175"/>
      <c r="AU255" s="175"/>
      <c r="AV255" s="175"/>
      <c r="AW255" s="175"/>
      <c r="AX255" s="175"/>
      <c r="AY255" s="174">
        <v>29</v>
      </c>
      <c r="AZ255" s="176"/>
      <c r="BA255" s="176"/>
      <c r="BB255" s="177"/>
      <c r="BC255" s="175"/>
      <c r="BD255" s="175"/>
      <c r="BE255" s="169"/>
      <c r="BF255" s="169" t="s">
        <v>2104</v>
      </c>
      <c r="BG255" s="171" t="s">
        <v>2113</v>
      </c>
      <c r="BH255" s="36"/>
      <c r="BI255" s="171" t="s">
        <v>2113</v>
      </c>
      <c r="BJ255" s="48"/>
      <c r="BK255" s="49">
        <v>1</v>
      </c>
    </row>
    <row x14ac:dyDescent="0.25" r="256" customHeight="1" ht="31.5">
      <c r="A256" s="168" t="s">
        <v>2114</v>
      </c>
      <c r="B256" s="169" t="s">
        <v>2115</v>
      </c>
      <c r="C256" s="36" t="s">
        <v>2116</v>
      </c>
      <c r="D256" s="36" t="s">
        <v>2117</v>
      </c>
      <c r="E256" s="169"/>
      <c r="F256" s="169" t="s">
        <v>577</v>
      </c>
      <c r="G256" s="169" t="s">
        <v>589</v>
      </c>
      <c r="H256" s="36" t="s">
        <v>386</v>
      </c>
      <c r="I256" s="36"/>
      <c r="J256" s="36"/>
      <c r="K256" s="169"/>
      <c r="L256" s="169"/>
      <c r="M256" s="169" t="s">
        <v>231</v>
      </c>
      <c r="N256" s="169" t="s">
        <v>2107</v>
      </c>
      <c r="O256" s="33"/>
      <c r="P256" s="36" t="s">
        <v>2118</v>
      </c>
      <c r="Q256" s="170" t="s">
        <v>728</v>
      </c>
      <c r="R256" s="36" t="s">
        <v>591</v>
      </c>
      <c r="S256" s="36" t="s">
        <v>2109</v>
      </c>
      <c r="T256" s="36"/>
      <c r="U256" s="171" t="s">
        <v>2119</v>
      </c>
      <c r="V256" s="169"/>
      <c r="W256" s="172">
        <v>1</v>
      </c>
      <c r="X256" s="139" t="s">
        <v>594</v>
      </c>
      <c r="Y256" s="173" t="s">
        <v>2120</v>
      </c>
      <c r="Z256" s="179">
        <v>0</v>
      </c>
      <c r="AA256" s="36"/>
      <c r="AB256" s="36" t="s">
        <v>2121</v>
      </c>
      <c r="AC256" s="169" t="s">
        <v>38</v>
      </c>
      <c r="AD256" s="36" t="s">
        <v>596</v>
      </c>
      <c r="AE256" s="36" t="s">
        <v>2112</v>
      </c>
      <c r="AF256" s="36" t="s">
        <v>292</v>
      </c>
      <c r="AG256" s="36" t="s">
        <v>19</v>
      </c>
      <c r="AH256" s="31" t="s">
        <v>27</v>
      </c>
      <c r="AI256" s="36"/>
      <c r="AJ256" s="36" t="s">
        <v>605</v>
      </c>
      <c r="AK256" s="36" t="s">
        <v>596</v>
      </c>
      <c r="AL256" s="36"/>
      <c r="AM256" s="36"/>
      <c r="AN256" s="36"/>
      <c r="AO256" s="36"/>
      <c r="AP256" s="36"/>
      <c r="AQ256" s="36"/>
      <c r="AR256" s="36"/>
      <c r="AS256" s="168"/>
      <c r="AT256" s="175"/>
      <c r="AU256" s="175"/>
      <c r="AV256" s="175"/>
      <c r="AW256" s="175"/>
      <c r="AX256" s="175"/>
      <c r="AY256" s="214">
        <v>28</v>
      </c>
      <c r="AZ256" s="176"/>
      <c r="BA256" s="176"/>
      <c r="BB256" s="177"/>
      <c r="BC256" s="175"/>
      <c r="BD256" s="175"/>
      <c r="BE256" s="169"/>
      <c r="BF256" s="169" t="s">
        <v>1106</v>
      </c>
      <c r="BG256" s="171" t="s">
        <v>2122</v>
      </c>
      <c r="BH256" s="36"/>
      <c r="BI256" s="171" t="s">
        <v>2122</v>
      </c>
      <c r="BJ256" s="48"/>
      <c r="BK256" s="49">
        <v>1</v>
      </c>
    </row>
    <row x14ac:dyDescent="0.25" r="257" customHeight="1" ht="75">
      <c r="A257" s="168" t="s">
        <v>2123</v>
      </c>
      <c r="B257" s="169" t="s">
        <v>2124</v>
      </c>
      <c r="C257" s="36" t="s">
        <v>2125</v>
      </c>
      <c r="D257" s="36" t="s">
        <v>2126</v>
      </c>
      <c r="E257" s="169"/>
      <c r="F257" s="169" t="s">
        <v>226</v>
      </c>
      <c r="G257" s="169" t="s">
        <v>589</v>
      </c>
      <c r="H257" s="36" t="s">
        <v>386</v>
      </c>
      <c r="I257" s="36"/>
      <c r="J257" s="36"/>
      <c r="K257" s="169"/>
      <c r="L257" s="169"/>
      <c r="M257" s="169" t="s">
        <v>231</v>
      </c>
      <c r="N257" s="169" t="s">
        <v>2107</v>
      </c>
      <c r="O257" s="33"/>
      <c r="P257" s="36" t="s">
        <v>2127</v>
      </c>
      <c r="Q257" s="170" t="s">
        <v>728</v>
      </c>
      <c r="R257" s="36" t="s">
        <v>591</v>
      </c>
      <c r="S257" s="36" t="s">
        <v>2109</v>
      </c>
      <c r="T257" s="36"/>
      <c r="U257" s="171" t="s">
        <v>2128</v>
      </c>
      <c r="V257" s="169"/>
      <c r="W257" s="172">
        <v>1</v>
      </c>
      <c r="X257" s="171" t="s">
        <v>594</v>
      </c>
      <c r="Y257" s="173" t="s">
        <v>256</v>
      </c>
      <c r="Z257" s="179">
        <v>0</v>
      </c>
      <c r="AA257" s="36"/>
      <c r="AB257" s="36" t="s">
        <v>2129</v>
      </c>
      <c r="AC257" s="169" t="s">
        <v>38</v>
      </c>
      <c r="AD257" s="36" t="s">
        <v>596</v>
      </c>
      <c r="AE257" s="36" t="s">
        <v>2112</v>
      </c>
      <c r="AF257" s="36" t="s">
        <v>292</v>
      </c>
      <c r="AG257" s="36" t="s">
        <v>94</v>
      </c>
      <c r="AH257" s="31" t="s">
        <v>67</v>
      </c>
      <c r="AI257" s="36"/>
      <c r="AJ257" s="36" t="s">
        <v>605</v>
      </c>
      <c r="AK257" s="36" t="s">
        <v>596</v>
      </c>
      <c r="AL257" s="36"/>
      <c r="AM257" s="36"/>
      <c r="AN257" s="36"/>
      <c r="AO257" s="36"/>
      <c r="AP257" s="36"/>
      <c r="AQ257" s="36"/>
      <c r="AR257" s="36"/>
      <c r="AS257" s="168"/>
      <c r="AT257" s="175"/>
      <c r="AU257" s="175"/>
      <c r="AV257" s="175"/>
      <c r="AW257" s="175"/>
      <c r="AX257" s="175"/>
      <c r="AY257" s="214">
        <v>32</v>
      </c>
      <c r="AZ257" s="176"/>
      <c r="BA257" s="176"/>
      <c r="BB257" s="177"/>
      <c r="BC257" s="175"/>
      <c r="BD257" s="175"/>
      <c r="BE257" s="169"/>
      <c r="BF257" s="169" t="s">
        <v>1165</v>
      </c>
      <c r="BG257" s="171" t="s">
        <v>2130</v>
      </c>
      <c r="BH257" s="36"/>
      <c r="BI257" s="171" t="s">
        <v>2130</v>
      </c>
      <c r="BJ257" s="48"/>
      <c r="BK257" s="49">
        <v>1</v>
      </c>
    </row>
    <row x14ac:dyDescent="0.25" r="258" customHeight="1" ht="31.5">
      <c r="A258" s="168" t="s">
        <v>2131</v>
      </c>
      <c r="B258" s="169" t="s">
        <v>2132</v>
      </c>
      <c r="C258" s="36" t="s">
        <v>2133</v>
      </c>
      <c r="D258" s="36" t="s">
        <v>2134</v>
      </c>
      <c r="E258" s="169"/>
      <c r="F258" s="169" t="s">
        <v>577</v>
      </c>
      <c r="G258" s="169" t="s">
        <v>589</v>
      </c>
      <c r="H258" s="36" t="s">
        <v>386</v>
      </c>
      <c r="I258" s="36"/>
      <c r="J258" s="36"/>
      <c r="K258" s="169"/>
      <c r="L258" s="169"/>
      <c r="M258" s="169" t="s">
        <v>231</v>
      </c>
      <c r="N258" s="169" t="s">
        <v>2107</v>
      </c>
      <c r="O258" s="33"/>
      <c r="P258" s="36" t="s">
        <v>2135</v>
      </c>
      <c r="Q258" s="170" t="s">
        <v>728</v>
      </c>
      <c r="R258" s="36" t="s">
        <v>591</v>
      </c>
      <c r="S258" s="36" t="s">
        <v>2109</v>
      </c>
      <c r="T258" s="36"/>
      <c r="U258" s="171" t="s">
        <v>2136</v>
      </c>
      <c r="V258" s="169"/>
      <c r="W258" s="172">
        <v>1</v>
      </c>
      <c r="X258" s="171" t="s">
        <v>594</v>
      </c>
      <c r="Y258" s="173" t="s">
        <v>1101</v>
      </c>
      <c r="Z258" s="179">
        <v>0</v>
      </c>
      <c r="AA258" s="36"/>
      <c r="AB258" s="36" t="s">
        <v>2137</v>
      </c>
      <c r="AC258" s="169" t="s">
        <v>38</v>
      </c>
      <c r="AD258" s="36" t="s">
        <v>596</v>
      </c>
      <c r="AE258" s="36" t="s">
        <v>2112</v>
      </c>
      <c r="AF258" s="36" t="s">
        <v>292</v>
      </c>
      <c r="AG258" s="36" t="s">
        <v>47</v>
      </c>
      <c r="AH258" s="31" t="s">
        <v>27</v>
      </c>
      <c r="AI258" s="36"/>
      <c r="AJ258" s="36" t="s">
        <v>605</v>
      </c>
      <c r="AK258" s="36" t="s">
        <v>596</v>
      </c>
      <c r="AL258" s="36"/>
      <c r="AM258" s="36"/>
      <c r="AN258" s="36"/>
      <c r="AO258" s="36"/>
      <c r="AP258" s="36"/>
      <c r="AQ258" s="36"/>
      <c r="AR258" s="36"/>
      <c r="AS258" s="168"/>
      <c r="AT258" s="175"/>
      <c r="AU258" s="175"/>
      <c r="AV258" s="175"/>
      <c r="AW258" s="175"/>
      <c r="AX258" s="175"/>
      <c r="AY258" s="214">
        <v>30</v>
      </c>
      <c r="AZ258" s="176"/>
      <c r="BA258" s="176"/>
      <c r="BB258" s="177"/>
      <c r="BC258" s="175"/>
      <c r="BD258" s="175"/>
      <c r="BE258" s="169"/>
      <c r="BF258" s="169" t="s">
        <v>1124</v>
      </c>
      <c r="BG258" s="171" t="s">
        <v>2138</v>
      </c>
      <c r="BH258" s="36"/>
      <c r="BI258" s="171" t="s">
        <v>2138</v>
      </c>
      <c r="BJ258" s="48"/>
      <c r="BK258" s="49">
        <v>1</v>
      </c>
    </row>
    <row x14ac:dyDescent="0.25" r="259" customHeight="1" ht="31.5">
      <c r="A259" s="168" t="s">
        <v>2139</v>
      </c>
      <c r="B259" s="169" t="s">
        <v>2140</v>
      </c>
      <c r="C259" s="36" t="s">
        <v>2141</v>
      </c>
      <c r="D259" s="36" t="s">
        <v>2142</v>
      </c>
      <c r="E259" s="169"/>
      <c r="F259" s="169" t="s">
        <v>226</v>
      </c>
      <c r="G259" s="169" t="s">
        <v>589</v>
      </c>
      <c r="H259" s="36" t="s">
        <v>386</v>
      </c>
      <c r="I259" s="36"/>
      <c r="J259" s="36"/>
      <c r="K259" s="169"/>
      <c r="L259" s="169"/>
      <c r="M259" s="169" t="s">
        <v>231</v>
      </c>
      <c r="N259" s="169" t="s">
        <v>2107</v>
      </c>
      <c r="O259" s="33"/>
      <c r="P259" s="36" t="s">
        <v>2143</v>
      </c>
      <c r="Q259" s="170" t="s">
        <v>728</v>
      </c>
      <c r="R259" s="36" t="s">
        <v>591</v>
      </c>
      <c r="S259" s="36" t="s">
        <v>2109</v>
      </c>
      <c r="T259" s="36"/>
      <c r="U259" s="171" t="s">
        <v>2144</v>
      </c>
      <c r="V259" s="169"/>
      <c r="W259" s="172">
        <v>1</v>
      </c>
      <c r="X259" s="171" t="s">
        <v>594</v>
      </c>
      <c r="Y259" s="173" t="s">
        <v>256</v>
      </c>
      <c r="Z259" s="179">
        <v>0</v>
      </c>
      <c r="AA259" s="36"/>
      <c r="AB259" s="36" t="s">
        <v>2145</v>
      </c>
      <c r="AC259" s="169" t="s">
        <v>38</v>
      </c>
      <c r="AD259" s="36" t="s">
        <v>596</v>
      </c>
      <c r="AE259" s="36" t="s">
        <v>2112</v>
      </c>
      <c r="AF259" s="36" t="s">
        <v>292</v>
      </c>
      <c r="AG259" s="36" t="s">
        <v>112</v>
      </c>
      <c r="AH259" s="31" t="s">
        <v>67</v>
      </c>
      <c r="AI259" s="36"/>
      <c r="AJ259" s="36" t="s">
        <v>605</v>
      </c>
      <c r="AK259" s="36" t="s">
        <v>596</v>
      </c>
      <c r="AL259" s="36"/>
      <c r="AM259" s="36"/>
      <c r="AN259" s="36"/>
      <c r="AO259" s="36"/>
      <c r="AP259" s="36"/>
      <c r="AQ259" s="36"/>
      <c r="AR259" s="36"/>
      <c r="AS259" s="168"/>
      <c r="AT259" s="175"/>
      <c r="AU259" s="175"/>
      <c r="AV259" s="175"/>
      <c r="AW259" s="175"/>
      <c r="AX259" s="175"/>
      <c r="AY259" s="174">
        <v>35</v>
      </c>
      <c r="AZ259" s="176"/>
      <c r="BA259" s="176"/>
      <c r="BB259" s="177"/>
      <c r="BC259" s="175"/>
      <c r="BD259" s="175"/>
      <c r="BE259" s="169"/>
      <c r="BF259" s="169" t="s">
        <v>2146</v>
      </c>
      <c r="BG259" s="171" t="s">
        <v>2147</v>
      </c>
      <c r="BH259" s="36"/>
      <c r="BI259" s="171" t="s">
        <v>2147</v>
      </c>
      <c r="BJ259" s="48"/>
      <c r="BK259" s="49">
        <v>1</v>
      </c>
    </row>
    <row x14ac:dyDescent="0.25" r="260" customHeight="1" ht="31.5">
      <c r="A260" s="168" t="s">
        <v>2148</v>
      </c>
      <c r="B260" s="169" t="s">
        <v>2149</v>
      </c>
      <c r="C260" s="36" t="s">
        <v>2150</v>
      </c>
      <c r="D260" s="36" t="s">
        <v>2151</v>
      </c>
      <c r="E260" s="169"/>
      <c r="F260" s="169" t="s">
        <v>226</v>
      </c>
      <c r="G260" s="169" t="s">
        <v>589</v>
      </c>
      <c r="H260" s="36" t="s">
        <v>386</v>
      </c>
      <c r="I260" s="36"/>
      <c r="J260" s="36"/>
      <c r="K260" s="169"/>
      <c r="L260" s="169"/>
      <c r="M260" s="169" t="s">
        <v>231</v>
      </c>
      <c r="N260" s="169" t="s">
        <v>2107</v>
      </c>
      <c r="O260" s="33"/>
      <c r="P260" s="36" t="s">
        <v>2152</v>
      </c>
      <c r="Q260" s="170" t="s">
        <v>728</v>
      </c>
      <c r="R260" s="36" t="s">
        <v>591</v>
      </c>
      <c r="S260" s="36" t="s">
        <v>2109</v>
      </c>
      <c r="T260" s="36"/>
      <c r="U260" s="171" t="s">
        <v>2153</v>
      </c>
      <c r="V260" s="169"/>
      <c r="W260" s="172">
        <v>1</v>
      </c>
      <c r="X260" s="171" t="s">
        <v>594</v>
      </c>
      <c r="Y260" s="173" t="s">
        <v>256</v>
      </c>
      <c r="Z260" s="179">
        <v>0</v>
      </c>
      <c r="AA260" s="36"/>
      <c r="AB260" s="36" t="s">
        <v>2154</v>
      </c>
      <c r="AC260" s="169" t="s">
        <v>38</v>
      </c>
      <c r="AD260" s="36" t="s">
        <v>596</v>
      </c>
      <c r="AE260" s="36" t="s">
        <v>2112</v>
      </c>
      <c r="AF260" s="36" t="s">
        <v>292</v>
      </c>
      <c r="AG260" s="36" t="s">
        <v>103</v>
      </c>
      <c r="AH260" s="31" t="s">
        <v>67</v>
      </c>
      <c r="AI260" s="36"/>
      <c r="AJ260" s="36" t="s">
        <v>605</v>
      </c>
      <c r="AK260" s="36" t="s">
        <v>596</v>
      </c>
      <c r="AL260" s="36"/>
      <c r="AM260" s="36"/>
      <c r="AN260" s="36"/>
      <c r="AO260" s="36"/>
      <c r="AP260" s="36"/>
      <c r="AQ260" s="36"/>
      <c r="AR260" s="36"/>
      <c r="AS260" s="168"/>
      <c r="AT260" s="175"/>
      <c r="AU260" s="175"/>
      <c r="AV260" s="175"/>
      <c r="AW260" s="175"/>
      <c r="AX260" s="175"/>
      <c r="AY260" s="174">
        <v>34</v>
      </c>
      <c r="AZ260" s="176"/>
      <c r="BA260" s="176"/>
      <c r="BB260" s="177"/>
      <c r="BC260" s="175"/>
      <c r="BD260" s="175"/>
      <c r="BE260" s="169"/>
      <c r="BF260" s="169" t="s">
        <v>2149</v>
      </c>
      <c r="BG260" s="171" t="s">
        <v>2155</v>
      </c>
      <c r="BH260" s="36"/>
      <c r="BI260" s="171" t="s">
        <v>2155</v>
      </c>
      <c r="BJ260" s="48"/>
      <c r="BK260" s="49">
        <v>1</v>
      </c>
    </row>
    <row x14ac:dyDescent="0.25" r="261" customHeight="1" ht="31.5">
      <c r="A261" s="168" t="s">
        <v>2156</v>
      </c>
      <c r="B261" s="169" t="s">
        <v>2157</v>
      </c>
      <c r="C261" s="36" t="s">
        <v>2158</v>
      </c>
      <c r="D261" s="36" t="s">
        <v>2159</v>
      </c>
      <c r="E261" s="169"/>
      <c r="F261" s="169" t="s">
        <v>577</v>
      </c>
      <c r="G261" s="169" t="s">
        <v>589</v>
      </c>
      <c r="H261" s="36" t="s">
        <v>386</v>
      </c>
      <c r="I261" s="36"/>
      <c r="J261" s="36"/>
      <c r="K261" s="169"/>
      <c r="L261" s="169"/>
      <c r="M261" s="169" t="s">
        <v>231</v>
      </c>
      <c r="N261" s="169" t="s">
        <v>2107</v>
      </c>
      <c r="O261" s="33"/>
      <c r="P261" s="36" t="s">
        <v>2160</v>
      </c>
      <c r="Q261" s="170" t="s">
        <v>728</v>
      </c>
      <c r="R261" s="36" t="s">
        <v>591</v>
      </c>
      <c r="S261" s="36" t="s">
        <v>2109</v>
      </c>
      <c r="T261" s="36"/>
      <c r="U261" s="171" t="s">
        <v>2161</v>
      </c>
      <c r="V261" s="169"/>
      <c r="W261" s="172">
        <v>1</v>
      </c>
      <c r="X261" s="171" t="s">
        <v>594</v>
      </c>
      <c r="Y261" s="173" t="s">
        <v>979</v>
      </c>
      <c r="Z261" s="179">
        <v>0</v>
      </c>
      <c r="AA261" s="36"/>
      <c r="AB261" s="36" t="s">
        <v>2162</v>
      </c>
      <c r="AC261" s="169" t="s">
        <v>38</v>
      </c>
      <c r="AD261" s="36" t="s">
        <v>596</v>
      </c>
      <c r="AE261" s="36" t="s">
        <v>2112</v>
      </c>
      <c r="AF261" s="36" t="s">
        <v>292</v>
      </c>
      <c r="AG261" s="36" t="s">
        <v>59</v>
      </c>
      <c r="AH261" s="31" t="s">
        <v>27</v>
      </c>
      <c r="AI261" s="36"/>
      <c r="AJ261" s="36" t="s">
        <v>605</v>
      </c>
      <c r="AK261" s="36" t="s">
        <v>596</v>
      </c>
      <c r="AL261" s="36"/>
      <c r="AM261" s="36"/>
      <c r="AN261" s="36"/>
      <c r="AO261" s="36"/>
      <c r="AP261" s="36"/>
      <c r="AQ261" s="36"/>
      <c r="AR261" s="36"/>
      <c r="AS261" s="168"/>
      <c r="AT261" s="175"/>
      <c r="AU261" s="175"/>
      <c r="AV261" s="175"/>
      <c r="AW261" s="175"/>
      <c r="AX261" s="175"/>
      <c r="AY261" s="174">
        <v>31</v>
      </c>
      <c r="AZ261" s="176"/>
      <c r="BA261" s="176"/>
      <c r="BB261" s="177"/>
      <c r="BC261" s="175"/>
      <c r="BD261" s="175"/>
      <c r="BE261" s="169"/>
      <c r="BF261" s="169" t="s">
        <v>2157</v>
      </c>
      <c r="BG261" s="171" t="s">
        <v>2163</v>
      </c>
      <c r="BH261" s="36"/>
      <c r="BI261" s="171" t="s">
        <v>2163</v>
      </c>
      <c r="BJ261" s="48"/>
      <c r="BK261" s="49">
        <v>1</v>
      </c>
    </row>
    <row x14ac:dyDescent="0.25" r="262" customHeight="1" ht="31.5">
      <c r="A262" s="168" t="s">
        <v>2164</v>
      </c>
      <c r="B262" s="169" t="s">
        <v>2165</v>
      </c>
      <c r="C262" s="36" t="s">
        <v>2166</v>
      </c>
      <c r="D262" s="36" t="s">
        <v>2167</v>
      </c>
      <c r="E262" s="169"/>
      <c r="F262" s="169" t="s">
        <v>577</v>
      </c>
      <c r="G262" s="169" t="s">
        <v>589</v>
      </c>
      <c r="H262" s="36" t="s">
        <v>386</v>
      </c>
      <c r="I262" s="36"/>
      <c r="J262" s="36"/>
      <c r="K262" s="169"/>
      <c r="L262" s="169"/>
      <c r="M262" s="169" t="s">
        <v>231</v>
      </c>
      <c r="N262" s="169" t="s">
        <v>2107</v>
      </c>
      <c r="O262" s="33"/>
      <c r="P262" s="36" t="s">
        <v>2168</v>
      </c>
      <c r="Q262" s="170" t="s">
        <v>728</v>
      </c>
      <c r="R262" s="36" t="s">
        <v>591</v>
      </c>
      <c r="S262" s="36" t="s">
        <v>2109</v>
      </c>
      <c r="T262" s="36"/>
      <c r="U262" s="171" t="s">
        <v>2169</v>
      </c>
      <c r="V262" s="169"/>
      <c r="W262" s="172">
        <v>1</v>
      </c>
      <c r="X262" s="171" t="s">
        <v>594</v>
      </c>
      <c r="Y262" s="173" t="s">
        <v>979</v>
      </c>
      <c r="Z262" s="179">
        <v>0</v>
      </c>
      <c r="AA262" s="36"/>
      <c r="AB262" s="36" t="s">
        <v>2170</v>
      </c>
      <c r="AC262" s="169" t="s">
        <v>38</v>
      </c>
      <c r="AD262" s="36" t="s">
        <v>596</v>
      </c>
      <c r="AE262" s="36" t="s">
        <v>2112</v>
      </c>
      <c r="AF262" s="36" t="s">
        <v>292</v>
      </c>
      <c r="AG262" s="36" t="s">
        <v>71</v>
      </c>
      <c r="AH262" s="31" t="s">
        <v>27</v>
      </c>
      <c r="AI262" s="36"/>
      <c r="AJ262" s="36" t="s">
        <v>605</v>
      </c>
      <c r="AK262" s="36" t="s">
        <v>596</v>
      </c>
      <c r="AL262" s="36"/>
      <c r="AM262" s="36"/>
      <c r="AN262" s="36"/>
      <c r="AO262" s="36"/>
      <c r="AP262" s="36"/>
      <c r="AQ262" s="36"/>
      <c r="AR262" s="36"/>
      <c r="AS262" s="168"/>
      <c r="AT262" s="175"/>
      <c r="AU262" s="175"/>
      <c r="AV262" s="175"/>
      <c r="AW262" s="175"/>
      <c r="AX262" s="175"/>
      <c r="AY262" s="174">
        <v>33</v>
      </c>
      <c r="AZ262" s="176"/>
      <c r="BA262" s="176"/>
      <c r="BB262" s="177"/>
      <c r="BC262" s="175"/>
      <c r="BD262" s="175"/>
      <c r="BE262" s="169"/>
      <c r="BF262" s="169" t="s">
        <v>2165</v>
      </c>
      <c r="BG262" s="171" t="s">
        <v>2171</v>
      </c>
      <c r="BH262" s="36"/>
      <c r="BI262" s="171" t="s">
        <v>2171</v>
      </c>
      <c r="BJ262" s="48"/>
      <c r="BK262" s="49">
        <v>1</v>
      </c>
    </row>
    <row x14ac:dyDescent="0.25" r="263" customHeight="1" ht="31.5">
      <c r="A263" s="168" t="s">
        <v>2172</v>
      </c>
      <c r="B263" s="169" t="s">
        <v>2173</v>
      </c>
      <c r="C263" s="36" t="s">
        <v>2174</v>
      </c>
      <c r="D263" s="36" t="s">
        <v>2175</v>
      </c>
      <c r="E263" s="169"/>
      <c r="F263" s="169" t="s">
        <v>577</v>
      </c>
      <c r="G263" s="169" t="s">
        <v>589</v>
      </c>
      <c r="H263" s="36" t="s">
        <v>386</v>
      </c>
      <c r="I263" s="36"/>
      <c r="J263" s="36"/>
      <c r="K263" s="169"/>
      <c r="L263" s="169"/>
      <c r="M263" s="169" t="s">
        <v>231</v>
      </c>
      <c r="N263" s="169" t="s">
        <v>2107</v>
      </c>
      <c r="O263" s="33"/>
      <c r="P263" s="36" t="s">
        <v>2176</v>
      </c>
      <c r="Q263" s="170" t="s">
        <v>728</v>
      </c>
      <c r="R263" s="36" t="s">
        <v>591</v>
      </c>
      <c r="S263" s="36" t="s">
        <v>2109</v>
      </c>
      <c r="T263" s="36"/>
      <c r="U263" s="171" t="s">
        <v>2177</v>
      </c>
      <c r="V263" s="169"/>
      <c r="W263" s="172">
        <v>1</v>
      </c>
      <c r="X263" s="171" t="s">
        <v>594</v>
      </c>
      <c r="Y263" s="173" t="s">
        <v>2178</v>
      </c>
      <c r="Z263" s="179">
        <v>0</v>
      </c>
      <c r="AA263" s="36"/>
      <c r="AB263" s="36" t="s">
        <v>2179</v>
      </c>
      <c r="AC263" s="169" t="s">
        <v>38</v>
      </c>
      <c r="AD263" s="36" t="s">
        <v>596</v>
      </c>
      <c r="AE263" s="36" t="s">
        <v>2112</v>
      </c>
      <c r="AF263" s="36" t="s">
        <v>292</v>
      </c>
      <c r="AG263" s="36" t="s">
        <v>83</v>
      </c>
      <c r="AH263" s="31" t="s">
        <v>55</v>
      </c>
      <c r="AI263" s="36"/>
      <c r="AJ263" s="36" t="s">
        <v>605</v>
      </c>
      <c r="AK263" s="36" t="s">
        <v>596</v>
      </c>
      <c r="AL263" s="36"/>
      <c r="AM263" s="36"/>
      <c r="AN263" s="36"/>
      <c r="AO263" s="36"/>
      <c r="AP263" s="36"/>
      <c r="AQ263" s="36"/>
      <c r="AR263" s="36"/>
      <c r="AS263" s="168"/>
      <c r="AT263" s="175"/>
      <c r="AU263" s="175"/>
      <c r="AV263" s="175"/>
      <c r="AW263" s="175"/>
      <c r="AX263" s="175"/>
      <c r="AY263" s="174">
        <v>36</v>
      </c>
      <c r="AZ263" s="176"/>
      <c r="BA263" s="176"/>
      <c r="BB263" s="177"/>
      <c r="BC263" s="175"/>
      <c r="BD263" s="175"/>
      <c r="BE263" s="169"/>
      <c r="BF263" s="169" t="s">
        <v>2173</v>
      </c>
      <c r="BG263" s="171" t="s">
        <v>2180</v>
      </c>
      <c r="BH263" s="36"/>
      <c r="BI263" s="171" t="s">
        <v>2180</v>
      </c>
      <c r="BJ263" s="48"/>
      <c r="BK263" s="49">
        <v>1</v>
      </c>
    </row>
    <row x14ac:dyDescent="0.25" r="264" customHeight="1" ht="49.5">
      <c r="A264" s="77">
        <v>10055</v>
      </c>
      <c r="B264" s="78" t="s">
        <v>2181</v>
      </c>
      <c r="C264" s="79" t="s">
        <v>2182</v>
      </c>
      <c r="D264" s="79" t="s">
        <v>2183</v>
      </c>
      <c r="E264" s="78"/>
      <c r="F264" s="78" t="s">
        <v>1189</v>
      </c>
      <c r="G264" s="78" t="s">
        <v>589</v>
      </c>
      <c r="H264" s="79" t="s">
        <v>386</v>
      </c>
      <c r="I264" s="79"/>
      <c r="J264" s="79"/>
      <c r="K264" s="78"/>
      <c r="L264" s="78"/>
      <c r="M264" s="78" t="s">
        <v>231</v>
      </c>
      <c r="N264" s="78" t="s">
        <v>726</v>
      </c>
      <c r="O264" s="33" t="s">
        <v>1190</v>
      </c>
      <c r="P264" s="79" t="s">
        <v>2184</v>
      </c>
      <c r="Q264" s="80" t="s">
        <v>728</v>
      </c>
      <c r="R264" s="79" t="s">
        <v>755</v>
      </c>
      <c r="S264" s="79" t="s">
        <v>730</v>
      </c>
      <c r="T264" s="79" t="s">
        <v>756</v>
      </c>
      <c r="U264" s="81" t="s">
        <v>2185</v>
      </c>
      <c r="V264" s="78"/>
      <c r="W264" s="82">
        <v>1</v>
      </c>
      <c r="X264" s="83" t="s">
        <v>594</v>
      </c>
      <c r="Y264" s="84" t="s">
        <v>1121</v>
      </c>
      <c r="Z264" s="85">
        <v>0</v>
      </c>
      <c r="AA264" s="79"/>
      <c r="AB264" s="79" t="s">
        <v>2186</v>
      </c>
      <c r="AC264" s="78" t="s">
        <v>38</v>
      </c>
      <c r="AD264" s="79" t="s">
        <v>596</v>
      </c>
      <c r="AE264" s="79" t="s">
        <v>760</v>
      </c>
      <c r="AF264" s="79" t="s">
        <v>292</v>
      </c>
      <c r="AG264" s="79" t="s">
        <v>45</v>
      </c>
      <c r="AH264" s="31" t="s">
        <v>41</v>
      </c>
      <c r="AI264" s="79"/>
      <c r="AJ264" s="31" t="s">
        <v>605</v>
      </c>
      <c r="AK264" s="31" t="s">
        <v>596</v>
      </c>
      <c r="AL264" s="79"/>
      <c r="AM264" s="79"/>
      <c r="AN264" s="79"/>
      <c r="AO264" s="79"/>
      <c r="AP264" s="79"/>
      <c r="AQ264" s="79"/>
      <c r="AR264" s="79"/>
      <c r="AS264" s="77"/>
      <c r="AT264" s="86"/>
      <c r="AU264" s="86"/>
      <c r="AV264" s="86"/>
      <c r="AW264" s="86"/>
      <c r="AX264" s="86"/>
      <c r="AY264" s="87">
        <v>42</v>
      </c>
      <c r="AZ264" s="88"/>
      <c r="BA264" s="88"/>
      <c r="BB264" s="89"/>
      <c r="BC264" s="86"/>
      <c r="BD264" s="86"/>
      <c r="BE264" s="78"/>
      <c r="BF264" s="78" t="s">
        <v>2181</v>
      </c>
      <c r="BG264" s="81" t="s">
        <v>2187</v>
      </c>
      <c r="BH264" s="81" t="s">
        <v>2187</v>
      </c>
      <c r="BI264" s="81" t="s">
        <v>2187</v>
      </c>
      <c r="BJ264" s="48"/>
      <c r="BK264" s="49">
        <v>3</v>
      </c>
    </row>
    <row x14ac:dyDescent="0.25" r="265" customHeight="1" ht="31.5">
      <c r="A265" s="30">
        <v>11100</v>
      </c>
      <c r="B265" s="215" t="s">
        <v>2188</v>
      </c>
      <c r="C265" s="31" t="s">
        <v>2189</v>
      </c>
      <c r="D265" s="31" t="s">
        <v>2190</v>
      </c>
      <c r="E265" s="5"/>
      <c r="F265" s="5" t="s">
        <v>226</v>
      </c>
      <c r="G265" s="5" t="s">
        <v>589</v>
      </c>
      <c r="H265" s="31" t="s">
        <v>386</v>
      </c>
      <c r="I265" s="31"/>
      <c r="J265" s="31"/>
      <c r="K265" s="5"/>
      <c r="L265" s="5"/>
      <c r="M265" s="5" t="s">
        <v>231</v>
      </c>
      <c r="N265" s="5" t="s">
        <v>1278</v>
      </c>
      <c r="O265" s="33"/>
      <c r="P265" s="31"/>
      <c r="Q265" s="216" t="s">
        <v>251</v>
      </c>
      <c r="R265" s="31" t="s">
        <v>591</v>
      </c>
      <c r="S265" s="31" t="s">
        <v>2191</v>
      </c>
      <c r="T265" s="31"/>
      <c r="U265" s="55" t="s">
        <v>2192</v>
      </c>
      <c r="V265" s="5"/>
      <c r="W265" s="134"/>
      <c r="X265" s="41" t="s">
        <v>594</v>
      </c>
      <c r="Y265" s="42" t="s">
        <v>256</v>
      </c>
      <c r="Z265" s="38" t="s">
        <v>386</v>
      </c>
      <c r="AA265" s="31"/>
      <c r="AB265" s="31" t="s">
        <v>2193</v>
      </c>
      <c r="AC265" s="5" t="s">
        <v>52</v>
      </c>
      <c r="AD265" s="31" t="s">
        <v>596</v>
      </c>
      <c r="AE265" s="36" t="s">
        <v>905</v>
      </c>
      <c r="AF265" s="31" t="s">
        <v>1315</v>
      </c>
      <c r="AG265" s="31"/>
      <c r="AH265" s="31"/>
      <c r="AI265" s="31"/>
      <c r="AJ265" s="31" t="s">
        <v>605</v>
      </c>
      <c r="AK265" s="31" t="s">
        <v>596</v>
      </c>
      <c r="AL265" s="31"/>
      <c r="AM265" s="31"/>
      <c r="AN265" s="31"/>
      <c r="AO265" s="31"/>
      <c r="AP265" s="31"/>
      <c r="AQ265" s="31"/>
      <c r="AR265" s="31"/>
      <c r="AS265" s="30"/>
      <c r="AT265" s="37"/>
      <c r="AU265" s="37"/>
      <c r="AV265" s="37"/>
      <c r="AW265" s="37"/>
      <c r="AX265" s="37"/>
      <c r="AY265" s="34">
        <v>64</v>
      </c>
      <c r="AZ265" s="38"/>
      <c r="BA265" s="38"/>
      <c r="BB265" s="46"/>
      <c r="BC265" s="37"/>
      <c r="BD265" s="37"/>
      <c r="BE265" s="5"/>
      <c r="BF265" s="5" t="s">
        <v>2194</v>
      </c>
      <c r="BG265" s="55" t="s">
        <v>2195</v>
      </c>
      <c r="BH265" s="31"/>
      <c r="BI265" s="31" t="s">
        <v>2195</v>
      </c>
      <c r="BJ265" s="48"/>
      <c r="BK265" s="49">
        <v>1</v>
      </c>
    </row>
    <row x14ac:dyDescent="0.25" r="266" customHeight="1" ht="31.5">
      <c r="A266" s="30">
        <v>11098</v>
      </c>
      <c r="B266" s="215" t="s">
        <v>2196</v>
      </c>
      <c r="C266" s="31" t="s">
        <v>2197</v>
      </c>
      <c r="D266" s="31" t="s">
        <v>2198</v>
      </c>
      <c r="E266" s="5"/>
      <c r="F266" s="5" t="s">
        <v>226</v>
      </c>
      <c r="G266" s="5" t="s">
        <v>589</v>
      </c>
      <c r="H266" s="31" t="s">
        <v>386</v>
      </c>
      <c r="I266" s="31"/>
      <c r="J266" s="31"/>
      <c r="K266" s="5"/>
      <c r="L266" s="5"/>
      <c r="M266" s="5" t="s">
        <v>231</v>
      </c>
      <c r="N266" s="5" t="s">
        <v>1278</v>
      </c>
      <c r="O266" s="33"/>
      <c r="P266" s="31"/>
      <c r="Q266" s="216" t="s">
        <v>251</v>
      </c>
      <c r="R266" s="31" t="s">
        <v>591</v>
      </c>
      <c r="S266" s="31" t="s">
        <v>2191</v>
      </c>
      <c r="T266" s="31"/>
      <c r="U266" s="55" t="s">
        <v>2199</v>
      </c>
      <c r="V266" s="5"/>
      <c r="W266" s="134"/>
      <c r="X266" s="41" t="s">
        <v>594</v>
      </c>
      <c r="Y266" s="42" t="s">
        <v>256</v>
      </c>
      <c r="Z266" s="38" t="s">
        <v>386</v>
      </c>
      <c r="AA266" s="31"/>
      <c r="AB266" s="31" t="s">
        <v>2200</v>
      </c>
      <c r="AC266" s="5" t="s">
        <v>52</v>
      </c>
      <c r="AD266" s="31" t="s">
        <v>596</v>
      </c>
      <c r="AE266" s="36" t="s">
        <v>905</v>
      </c>
      <c r="AF266" s="31" t="s">
        <v>1291</v>
      </c>
      <c r="AG266" s="31"/>
      <c r="AH266" s="31"/>
      <c r="AI266" s="31"/>
      <c r="AJ266" s="31" t="s">
        <v>605</v>
      </c>
      <c r="AK266" s="31" t="s">
        <v>596</v>
      </c>
      <c r="AL266" s="31"/>
      <c r="AM266" s="31"/>
      <c r="AN266" s="31"/>
      <c r="AO266" s="31"/>
      <c r="AP266" s="31"/>
      <c r="AQ266" s="31"/>
      <c r="AR266" s="31"/>
      <c r="AS266" s="30"/>
      <c r="AT266" s="37"/>
      <c r="AU266" s="37"/>
      <c r="AV266" s="37"/>
      <c r="AW266" s="37"/>
      <c r="AX266" s="37"/>
      <c r="AY266" s="34">
        <v>62</v>
      </c>
      <c r="AZ266" s="38"/>
      <c r="BA266" s="38"/>
      <c r="BB266" s="46"/>
      <c r="BC266" s="37"/>
      <c r="BD266" s="37"/>
      <c r="BE266" s="5"/>
      <c r="BF266" s="5" t="s">
        <v>2201</v>
      </c>
      <c r="BG266" s="55" t="s">
        <v>2202</v>
      </c>
      <c r="BH266" s="31"/>
      <c r="BI266" s="31" t="s">
        <v>2202</v>
      </c>
      <c r="BJ266" s="48"/>
      <c r="BK266" s="49">
        <v>1</v>
      </c>
    </row>
    <row x14ac:dyDescent="0.25" r="267" customHeight="1" ht="31.5">
      <c r="A267" s="30">
        <v>11101</v>
      </c>
      <c r="B267" s="215" t="s">
        <v>2203</v>
      </c>
      <c r="C267" s="31" t="s">
        <v>2204</v>
      </c>
      <c r="D267" s="31" t="s">
        <v>2205</v>
      </c>
      <c r="E267" s="5"/>
      <c r="F267" s="5" t="s">
        <v>577</v>
      </c>
      <c r="G267" s="5" t="s">
        <v>589</v>
      </c>
      <c r="H267" s="31" t="s">
        <v>386</v>
      </c>
      <c r="I267" s="31"/>
      <c r="J267" s="31"/>
      <c r="K267" s="5"/>
      <c r="L267" s="5"/>
      <c r="M267" s="5" t="s">
        <v>231</v>
      </c>
      <c r="N267" s="5" t="s">
        <v>1278</v>
      </c>
      <c r="O267" s="33"/>
      <c r="P267" s="31"/>
      <c r="Q267" s="216" t="s">
        <v>251</v>
      </c>
      <c r="R267" s="31" t="s">
        <v>591</v>
      </c>
      <c r="S267" s="31" t="s">
        <v>2191</v>
      </c>
      <c r="T267" s="31"/>
      <c r="U267" s="55" t="s">
        <v>2206</v>
      </c>
      <c r="V267" s="5"/>
      <c r="W267" s="134"/>
      <c r="X267" s="41" t="s">
        <v>594</v>
      </c>
      <c r="Y267" s="42" t="s">
        <v>979</v>
      </c>
      <c r="Z267" s="38" t="s">
        <v>386</v>
      </c>
      <c r="AA267" s="31"/>
      <c r="AB267" s="31" t="s">
        <v>2207</v>
      </c>
      <c r="AC267" s="5" t="s">
        <v>38</v>
      </c>
      <c r="AD267" s="31" t="s">
        <v>596</v>
      </c>
      <c r="AE267" s="36" t="s">
        <v>905</v>
      </c>
      <c r="AF267" s="31" t="s">
        <v>1307</v>
      </c>
      <c r="AG267" s="31"/>
      <c r="AH267" s="31" t="s">
        <v>27</v>
      </c>
      <c r="AI267" s="31"/>
      <c r="AJ267" s="31" t="s">
        <v>605</v>
      </c>
      <c r="AK267" s="31" t="s">
        <v>596</v>
      </c>
      <c r="AL267" s="31"/>
      <c r="AM267" s="31"/>
      <c r="AN267" s="31"/>
      <c r="AO267" s="31"/>
      <c r="AP267" s="31"/>
      <c r="AQ267" s="31"/>
      <c r="AR267" s="31"/>
      <c r="AS267" s="30"/>
      <c r="AT267" s="37"/>
      <c r="AU267" s="37"/>
      <c r="AV267" s="37"/>
      <c r="AW267" s="37"/>
      <c r="AX267" s="37"/>
      <c r="AY267" s="217">
        <v>63</v>
      </c>
      <c r="AZ267" s="38"/>
      <c r="BA267" s="38"/>
      <c r="BB267" s="46"/>
      <c r="BC267" s="37"/>
      <c r="BD267" s="37"/>
      <c r="BE267" s="5"/>
      <c r="BF267" s="5" t="s">
        <v>2208</v>
      </c>
      <c r="BG267" s="55" t="s">
        <v>2209</v>
      </c>
      <c r="BH267" s="31"/>
      <c r="BI267" s="31" t="s">
        <v>2209</v>
      </c>
      <c r="BJ267" s="48"/>
      <c r="BK267" s="49">
        <v>1</v>
      </c>
    </row>
    <row x14ac:dyDescent="0.25" r="268" customHeight="1" ht="31.5">
      <c r="A268" s="30">
        <v>11099</v>
      </c>
      <c r="B268" s="215" t="s">
        <v>2210</v>
      </c>
      <c r="C268" s="31" t="s">
        <v>2211</v>
      </c>
      <c r="D268" s="31" t="s">
        <v>2212</v>
      </c>
      <c r="E268" s="5"/>
      <c r="F268" s="5" t="s">
        <v>577</v>
      </c>
      <c r="G268" s="5" t="s">
        <v>589</v>
      </c>
      <c r="H268" s="31" t="s">
        <v>386</v>
      </c>
      <c r="I268" s="31"/>
      <c r="J268" s="31"/>
      <c r="K268" s="5"/>
      <c r="L268" s="5"/>
      <c r="M268" s="5" t="s">
        <v>231</v>
      </c>
      <c r="N268" s="5" t="s">
        <v>1278</v>
      </c>
      <c r="O268" s="33"/>
      <c r="P268" s="31"/>
      <c r="Q268" s="216" t="s">
        <v>251</v>
      </c>
      <c r="R268" s="31" t="s">
        <v>591</v>
      </c>
      <c r="S268" s="31" t="s">
        <v>2191</v>
      </c>
      <c r="T268" s="31"/>
      <c r="U268" s="55" t="s">
        <v>2213</v>
      </c>
      <c r="V268" s="5"/>
      <c r="W268" s="134"/>
      <c r="X268" s="41" t="s">
        <v>594</v>
      </c>
      <c r="Y268" s="42" t="s">
        <v>979</v>
      </c>
      <c r="Z268" s="38" t="s">
        <v>386</v>
      </c>
      <c r="AA268" s="31"/>
      <c r="AB268" s="31" t="s">
        <v>2214</v>
      </c>
      <c r="AC268" s="5" t="s">
        <v>38</v>
      </c>
      <c r="AD268" s="31" t="s">
        <v>596</v>
      </c>
      <c r="AE268" s="36" t="s">
        <v>905</v>
      </c>
      <c r="AF268" s="31" t="s">
        <v>1283</v>
      </c>
      <c r="AG268" s="31"/>
      <c r="AH268" s="31" t="s">
        <v>27</v>
      </c>
      <c r="AI268" s="31"/>
      <c r="AJ268" s="31" t="s">
        <v>605</v>
      </c>
      <c r="AK268" s="31" t="s">
        <v>596</v>
      </c>
      <c r="AL268" s="31"/>
      <c r="AM268" s="31"/>
      <c r="AN268" s="31"/>
      <c r="AO268" s="31"/>
      <c r="AP268" s="31"/>
      <c r="AQ268" s="31"/>
      <c r="AR268" s="31"/>
      <c r="AS268" s="30"/>
      <c r="AT268" s="37"/>
      <c r="AU268" s="37"/>
      <c r="AV268" s="37"/>
      <c r="AW268" s="37"/>
      <c r="AX268" s="37"/>
      <c r="AY268" s="34">
        <v>61</v>
      </c>
      <c r="AZ268" s="38"/>
      <c r="BA268" s="38"/>
      <c r="BB268" s="46"/>
      <c r="BC268" s="37"/>
      <c r="BD268" s="37"/>
      <c r="BE268" s="5"/>
      <c r="BF268" s="5" t="s">
        <v>2215</v>
      </c>
      <c r="BG268" s="55" t="s">
        <v>2216</v>
      </c>
      <c r="BH268" s="31"/>
      <c r="BI268" s="31" t="s">
        <v>2216</v>
      </c>
      <c r="BJ268" s="48"/>
      <c r="BK268" s="49">
        <v>1</v>
      </c>
    </row>
    <row x14ac:dyDescent="0.25" r="269" customHeight="1" ht="49.5">
      <c r="A269" s="156">
        <v>10064</v>
      </c>
      <c r="B269" s="157" t="s">
        <v>2217</v>
      </c>
      <c r="C269" s="158" t="s">
        <v>2218</v>
      </c>
      <c r="D269" s="158" t="s">
        <v>2219</v>
      </c>
      <c r="E269" s="157"/>
      <c r="F269" s="157" t="s">
        <v>226</v>
      </c>
      <c r="G269" s="157" t="s">
        <v>589</v>
      </c>
      <c r="H269" s="158" t="s">
        <v>386</v>
      </c>
      <c r="I269" s="158"/>
      <c r="J269" s="158"/>
      <c r="K269" s="157"/>
      <c r="L269" s="157"/>
      <c r="M269" s="157" t="s">
        <v>231</v>
      </c>
      <c r="N269" s="157" t="s">
        <v>726</v>
      </c>
      <c r="O269" s="218" t="s">
        <v>2220</v>
      </c>
      <c r="P269" s="158" t="s">
        <v>2221</v>
      </c>
      <c r="Q269" s="161" t="s">
        <v>728</v>
      </c>
      <c r="R269" s="158" t="s">
        <v>591</v>
      </c>
      <c r="S269" s="158" t="s">
        <v>730</v>
      </c>
      <c r="T269" s="158" t="s">
        <v>756</v>
      </c>
      <c r="U269" s="158" t="s">
        <v>2222</v>
      </c>
      <c r="V269" s="157"/>
      <c r="W269" s="162">
        <v>1</v>
      </c>
      <c r="X269" s="158" t="s">
        <v>594</v>
      </c>
      <c r="Y269" s="157"/>
      <c r="Z269" s="163">
        <v>0</v>
      </c>
      <c r="AA269" s="158" t="s">
        <v>2223</v>
      </c>
      <c r="AB269" s="158" t="s">
        <v>2224</v>
      </c>
      <c r="AC269" s="157" t="s">
        <v>52</v>
      </c>
      <c r="AD269" s="158" t="s">
        <v>596</v>
      </c>
      <c r="AE269" s="164" t="s">
        <v>760</v>
      </c>
      <c r="AF269" s="158" t="s">
        <v>292</v>
      </c>
      <c r="AG269" s="158" t="s">
        <v>134</v>
      </c>
      <c r="AH269" s="158" t="s">
        <v>67</v>
      </c>
      <c r="AI269" s="158"/>
      <c r="AJ269" s="158" t="s">
        <v>605</v>
      </c>
      <c r="AK269" s="158" t="s">
        <v>596</v>
      </c>
      <c r="AL269" s="158"/>
      <c r="AM269" s="158"/>
      <c r="AN269" s="158"/>
      <c r="AO269" s="158"/>
      <c r="AP269" s="158"/>
      <c r="AQ269" s="158"/>
      <c r="AR269" s="158"/>
      <c r="AS269" s="156"/>
      <c r="AT269" s="165"/>
      <c r="AU269" s="165"/>
      <c r="AV269" s="165"/>
      <c r="AW269" s="165"/>
      <c r="AX269" s="165"/>
      <c r="AY269" s="162">
        <v>53</v>
      </c>
      <c r="AZ269" s="166"/>
      <c r="BA269" s="166"/>
      <c r="BB269" s="161"/>
      <c r="BC269" s="165"/>
      <c r="BD269" s="165"/>
      <c r="BE269" s="157"/>
      <c r="BF269" s="157" t="s">
        <v>2217</v>
      </c>
      <c r="BG269" s="158" t="s">
        <v>2225</v>
      </c>
      <c r="BH269" s="158"/>
      <c r="BI269" s="158" t="s">
        <v>2225</v>
      </c>
      <c r="BJ269" s="158"/>
      <c r="BK269" s="156">
        <v>1</v>
      </c>
    </row>
    <row x14ac:dyDescent="0.25" r="270" customHeight="1" ht="31.5">
      <c r="A270" s="64" t="s">
        <v>2226</v>
      </c>
      <c r="B270" s="65" t="s">
        <v>2227</v>
      </c>
      <c r="C270" s="63" t="s">
        <v>2228</v>
      </c>
      <c r="D270" s="63" t="s">
        <v>2229</v>
      </c>
      <c r="E270" s="65"/>
      <c r="F270" s="65" t="s">
        <v>577</v>
      </c>
      <c r="G270" s="65" t="s">
        <v>589</v>
      </c>
      <c r="H270" s="63" t="s">
        <v>386</v>
      </c>
      <c r="I270" s="63"/>
      <c r="J270" s="63"/>
      <c r="K270" s="65"/>
      <c r="L270" s="65"/>
      <c r="M270" s="65" t="s">
        <v>231</v>
      </c>
      <c r="N270" s="65" t="s">
        <v>726</v>
      </c>
      <c r="O270" s="53" t="s">
        <v>2230</v>
      </c>
      <c r="P270" s="63" t="s">
        <v>2231</v>
      </c>
      <c r="Q270" s="67" t="s">
        <v>728</v>
      </c>
      <c r="R270" s="63" t="s">
        <v>729</v>
      </c>
      <c r="S270" s="68" t="s">
        <v>730</v>
      </c>
      <c r="T270" s="63"/>
      <c r="U270" s="69" t="s">
        <v>2232</v>
      </c>
      <c r="V270" s="65"/>
      <c r="W270" s="70">
        <v>1</v>
      </c>
      <c r="X270" s="68" t="s">
        <v>594</v>
      </c>
      <c r="Y270" s="71"/>
      <c r="Z270" s="72">
        <v>0</v>
      </c>
      <c r="AA270" s="63"/>
      <c r="AB270" s="63" t="s">
        <v>2233</v>
      </c>
      <c r="AC270" s="65" t="s">
        <v>38</v>
      </c>
      <c r="AD270" s="63" t="s">
        <v>596</v>
      </c>
      <c r="AE270" s="36" t="s">
        <v>734</v>
      </c>
      <c r="AF270" s="63" t="s">
        <v>2234</v>
      </c>
      <c r="AG270" s="63"/>
      <c r="AH270" s="31" t="s">
        <v>27</v>
      </c>
      <c r="AI270" s="63"/>
      <c r="AJ270" s="63" t="s">
        <v>605</v>
      </c>
      <c r="AK270" s="63" t="s">
        <v>596</v>
      </c>
      <c r="AL270" s="63"/>
      <c r="AM270" s="63"/>
      <c r="AN270" s="63"/>
      <c r="AO270" s="63"/>
      <c r="AP270" s="63"/>
      <c r="AQ270" s="63"/>
      <c r="AR270" s="63"/>
      <c r="AS270" s="64"/>
      <c r="AT270" s="73"/>
      <c r="AU270" s="73"/>
      <c r="AV270" s="73"/>
      <c r="AW270" s="73"/>
      <c r="AX270" s="73"/>
      <c r="AY270" s="74">
        <v>38</v>
      </c>
      <c r="AZ270" s="75"/>
      <c r="BA270" s="75"/>
      <c r="BB270" s="76"/>
      <c r="BC270" s="73"/>
      <c r="BD270" s="73"/>
      <c r="BE270" s="65"/>
      <c r="BF270" s="5" t="s">
        <v>2235</v>
      </c>
      <c r="BG270" s="69" t="s">
        <v>2236</v>
      </c>
      <c r="BH270" s="63"/>
      <c r="BI270" s="219" t="s">
        <v>2236</v>
      </c>
      <c r="BJ270" s="48"/>
      <c r="BK270" s="49">
        <v>1</v>
      </c>
    </row>
    <row x14ac:dyDescent="0.25" r="271" customHeight="1" ht="60.75">
      <c r="A271" s="61" t="s">
        <v>2237</v>
      </c>
      <c r="B271" s="62" t="s">
        <v>2238</v>
      </c>
      <c r="C271" s="55" t="s">
        <v>2239</v>
      </c>
      <c r="D271" s="55" t="s">
        <v>2240</v>
      </c>
      <c r="E271" s="62"/>
      <c r="F271" s="62" t="s">
        <v>226</v>
      </c>
      <c r="G271" s="62" t="s">
        <v>589</v>
      </c>
      <c r="H271" s="55" t="s">
        <v>386</v>
      </c>
      <c r="I271" s="55"/>
      <c r="J271" s="55"/>
      <c r="K271" s="62"/>
      <c r="L271" s="62"/>
      <c r="M271" s="62" t="s">
        <v>231</v>
      </c>
      <c r="N271" s="62" t="s">
        <v>726</v>
      </c>
      <c r="O271" s="220">
        <f>CONCATENATE(C258,"+",C260,"+",C262,"+",C264,"+",C267,"+",C268,)</f>
      </c>
      <c r="P271" s="55" t="s">
        <v>2241</v>
      </c>
      <c r="Q271" s="221" t="s">
        <v>728</v>
      </c>
      <c r="R271" s="55" t="s">
        <v>591</v>
      </c>
      <c r="S271" s="55" t="s">
        <v>730</v>
      </c>
      <c r="T271" s="55" t="s">
        <v>2242</v>
      </c>
      <c r="U271" s="55" t="s">
        <v>2243</v>
      </c>
      <c r="V271" s="62"/>
      <c r="W271" s="222">
        <v>1</v>
      </c>
      <c r="X271" s="55" t="s">
        <v>594</v>
      </c>
      <c r="Y271" s="62"/>
      <c r="Z271" s="223">
        <v>0</v>
      </c>
      <c r="AA271" s="55"/>
      <c r="AB271" s="55" t="s">
        <v>2244</v>
      </c>
      <c r="AC271" s="62" t="s">
        <v>52</v>
      </c>
      <c r="AD271" s="55" t="s">
        <v>596</v>
      </c>
      <c r="AE271" s="171" t="s">
        <v>734</v>
      </c>
      <c r="AF271" s="55" t="s">
        <v>2245</v>
      </c>
      <c r="AG271" s="55"/>
      <c r="AH271" s="55"/>
      <c r="AI271" s="55"/>
      <c r="AJ271" s="55" t="s">
        <v>605</v>
      </c>
      <c r="AK271" s="55" t="s">
        <v>596</v>
      </c>
      <c r="AL271" s="55"/>
      <c r="AM271" s="55"/>
      <c r="AN271" s="55"/>
      <c r="AO271" s="55"/>
      <c r="AP271" s="55"/>
      <c r="AQ271" s="55"/>
      <c r="AR271" s="55"/>
      <c r="AS271" s="61"/>
      <c r="AT271" s="135"/>
      <c r="AU271" s="135"/>
      <c r="AV271" s="135"/>
      <c r="AW271" s="135"/>
      <c r="AX271" s="135"/>
      <c r="AY271" s="222">
        <v>54</v>
      </c>
      <c r="AZ271" s="224"/>
      <c r="BA271" s="224"/>
      <c r="BB271" s="46"/>
      <c r="BC271" s="135"/>
      <c r="BD271" s="135"/>
      <c r="BE271" s="62"/>
      <c r="BF271" s="62" t="s">
        <v>2246</v>
      </c>
      <c r="BG271" s="55" t="s">
        <v>2247</v>
      </c>
      <c r="BH271" s="55"/>
      <c r="BI271" s="55" t="s">
        <v>2247</v>
      </c>
      <c r="BJ271" s="48"/>
      <c r="BK271" s="49">
        <v>1</v>
      </c>
    </row>
    <row x14ac:dyDescent="0.25" r="272" customHeight="1" ht="31.5">
      <c r="A272" s="30" t="s">
        <v>2248</v>
      </c>
      <c r="B272" s="5" t="s">
        <v>2249</v>
      </c>
      <c r="C272" s="31" t="s">
        <v>2250</v>
      </c>
      <c r="D272" s="31" t="s">
        <v>2251</v>
      </c>
      <c r="E272" s="5"/>
      <c r="F272" s="5" t="s">
        <v>2252</v>
      </c>
      <c r="G272" s="5" t="s">
        <v>589</v>
      </c>
      <c r="H272" s="31" t="s">
        <v>386</v>
      </c>
      <c r="I272" s="31"/>
      <c r="J272" s="31"/>
      <c r="K272" s="5"/>
      <c r="L272" s="5"/>
      <c r="M272" s="5" t="s">
        <v>231</v>
      </c>
      <c r="N272" s="5" t="s">
        <v>616</v>
      </c>
      <c r="O272" s="33"/>
      <c r="P272" s="31"/>
      <c r="Q272" s="1" t="s">
        <v>251</v>
      </c>
      <c r="R272" s="31" t="s">
        <v>591</v>
      </c>
      <c r="S272" s="31" t="s">
        <v>638</v>
      </c>
      <c r="T272" s="31"/>
      <c r="U272" s="55" t="s">
        <v>2253</v>
      </c>
      <c r="V272" s="5"/>
      <c r="W272" s="40">
        <v>0</v>
      </c>
      <c r="X272" s="41" t="s">
        <v>386</v>
      </c>
      <c r="Y272" s="42"/>
      <c r="Z272" s="38" t="s">
        <v>386</v>
      </c>
      <c r="AA272" s="31"/>
      <c r="AB272" s="31" t="s">
        <v>2254</v>
      </c>
      <c r="AC272" s="5" t="s">
        <v>98</v>
      </c>
      <c r="AD272" s="31" t="s">
        <v>596</v>
      </c>
      <c r="AE272" s="36" t="s">
        <v>595</v>
      </c>
      <c r="AF272" s="31" t="s">
        <v>2255</v>
      </c>
      <c r="AG272" s="31"/>
      <c r="AH272" s="31"/>
      <c r="AI272" s="31"/>
      <c r="AJ272" s="31"/>
      <c r="AK272" s="31"/>
      <c r="AL272" s="31"/>
      <c r="AM272" s="31"/>
      <c r="AN272" s="31"/>
      <c r="AO272" s="31"/>
      <c r="AP272" s="31"/>
      <c r="AQ272" s="31"/>
      <c r="AR272" s="31"/>
      <c r="AS272" s="30"/>
      <c r="AT272" s="37"/>
      <c r="AU272" s="37"/>
      <c r="AV272" s="37"/>
      <c r="AW272" s="37"/>
      <c r="AX272" s="37"/>
      <c r="AY272" s="34">
        <v>11</v>
      </c>
      <c r="AZ272" s="38"/>
      <c r="BA272" s="38"/>
      <c r="BB272" s="46"/>
      <c r="BC272" s="37"/>
      <c r="BD272" s="37"/>
      <c r="BE272" s="5"/>
      <c r="BF272" s="5" t="s">
        <v>2249</v>
      </c>
      <c r="BG272" s="31"/>
      <c r="BH272" s="31"/>
      <c r="BI272" s="31"/>
      <c r="BJ272" s="48"/>
      <c r="BK272" s="49">
        <v>1</v>
      </c>
    </row>
    <row x14ac:dyDescent="0.25" r="273" customHeight="1" ht="74.25">
      <c r="A273" s="30" t="s">
        <v>1020</v>
      </c>
      <c r="B273" s="5" t="s">
        <v>386</v>
      </c>
      <c r="C273" s="31" t="s">
        <v>2256</v>
      </c>
      <c r="D273" s="31" t="s">
        <v>2257</v>
      </c>
      <c r="E273" s="5"/>
      <c r="F273" s="5" t="s">
        <v>703</v>
      </c>
      <c r="G273" s="5" t="s">
        <v>386</v>
      </c>
      <c r="H273" s="31" t="s">
        <v>386</v>
      </c>
      <c r="I273" s="32"/>
      <c r="J273" s="32"/>
      <c r="K273" s="5"/>
      <c r="L273" s="5"/>
      <c r="M273" s="5" t="s">
        <v>231</v>
      </c>
      <c r="N273" s="5" t="s">
        <v>386</v>
      </c>
      <c r="O273" s="33" t="s">
        <v>386</v>
      </c>
      <c r="P273" s="5" t="s">
        <v>386</v>
      </c>
      <c r="Q273" s="1" t="s">
        <v>2258</v>
      </c>
      <c r="R273" s="31" t="s">
        <v>755</v>
      </c>
      <c r="S273" s="31" t="s">
        <v>2259</v>
      </c>
      <c r="T273" s="31"/>
      <c r="U273" s="31" t="s">
        <v>2260</v>
      </c>
      <c r="V273" s="5"/>
      <c r="W273" s="34">
        <v>1</v>
      </c>
      <c r="X273" s="31" t="s">
        <v>581</v>
      </c>
      <c r="Y273" s="5"/>
      <c r="Z273" s="35">
        <v>1</v>
      </c>
      <c r="AA273" s="31" t="s">
        <v>2256</v>
      </c>
      <c r="AB273" s="31" t="s">
        <v>2261</v>
      </c>
      <c r="AC273" s="5" t="s">
        <v>76</v>
      </c>
      <c r="AD273" s="31" t="s">
        <v>259</v>
      </c>
      <c r="AE273" s="36" t="s">
        <v>259</v>
      </c>
      <c r="AF273" s="31" t="s">
        <v>2262</v>
      </c>
      <c r="AG273" s="31"/>
      <c r="AH273" s="31"/>
      <c r="AI273" s="31"/>
      <c r="AJ273" s="31"/>
      <c r="AK273" s="31"/>
      <c r="AL273" s="31"/>
      <c r="AM273" s="31"/>
      <c r="AN273" s="31" t="s">
        <v>2263</v>
      </c>
      <c r="AO273" s="31" t="s">
        <v>259</v>
      </c>
      <c r="AP273" s="31" t="s">
        <v>2264</v>
      </c>
      <c r="AQ273" s="31"/>
      <c r="AR273" s="31"/>
      <c r="AS273" s="30">
        <v>3</v>
      </c>
      <c r="AT273" s="37">
        <v>2</v>
      </c>
      <c r="AU273" s="37">
        <v>2</v>
      </c>
      <c r="AV273" s="37">
        <v>2</v>
      </c>
      <c r="AW273" s="37">
        <v>2</v>
      </c>
      <c r="AX273" s="37">
        <v>2</v>
      </c>
      <c r="AY273" s="38"/>
      <c r="AZ273" s="38"/>
      <c r="BA273" s="38"/>
      <c r="BB273" s="46"/>
      <c r="BC273" s="37"/>
      <c r="BD273" s="37"/>
      <c r="BE273" s="5"/>
      <c r="BF273" s="5"/>
      <c r="BG273" s="31" t="s">
        <v>2260</v>
      </c>
      <c r="BH273" s="31"/>
      <c r="BI273" s="31" t="s">
        <v>2260</v>
      </c>
      <c r="BJ273" s="48"/>
      <c r="BK273" s="49"/>
    </row>
    <row x14ac:dyDescent="0.25" r="274" customHeight="1" ht="31.5">
      <c r="A274" s="156" t="s">
        <v>386</v>
      </c>
      <c r="B274" s="157" t="s">
        <v>386</v>
      </c>
      <c r="C274" s="158" t="s">
        <v>2265</v>
      </c>
      <c r="D274" s="158" t="s">
        <v>2266</v>
      </c>
      <c r="E274" s="157"/>
      <c r="F274" s="157" t="s">
        <v>2267</v>
      </c>
      <c r="G274" s="157" t="s">
        <v>386</v>
      </c>
      <c r="H274" s="158" t="s">
        <v>386</v>
      </c>
      <c r="I274" s="159" t="s">
        <v>386</v>
      </c>
      <c r="J274" s="159" t="s">
        <v>386</v>
      </c>
      <c r="K274" s="157" t="s">
        <v>2268</v>
      </c>
      <c r="L274" s="157" t="s">
        <v>2268</v>
      </c>
      <c r="M274" s="157" t="s">
        <v>231</v>
      </c>
      <c r="N274" s="157" t="s">
        <v>386</v>
      </c>
      <c r="O274" s="160"/>
      <c r="P274" s="157"/>
      <c r="Q274" s="161" t="s">
        <v>251</v>
      </c>
      <c r="R274" s="158" t="s">
        <v>252</v>
      </c>
      <c r="S274" s="158"/>
      <c r="T274" s="158"/>
      <c r="U274" s="158" t="s">
        <v>2269</v>
      </c>
      <c r="V274" s="157"/>
      <c r="W274" s="162">
        <v>1</v>
      </c>
      <c r="X274" s="158" t="s">
        <v>581</v>
      </c>
      <c r="Y274" s="157"/>
      <c r="Z274" s="163">
        <v>1</v>
      </c>
      <c r="AA274" s="158" t="s">
        <v>2265</v>
      </c>
      <c r="AB274" s="158" t="s">
        <v>2270</v>
      </c>
      <c r="AC274" s="157" t="s">
        <v>76</v>
      </c>
      <c r="AD274" s="157" t="s">
        <v>259</v>
      </c>
      <c r="AE274" s="164" t="s">
        <v>1399</v>
      </c>
      <c r="AF274" s="158" t="s">
        <v>2270</v>
      </c>
      <c r="AG274" s="158"/>
      <c r="AH274" s="158"/>
      <c r="AI274" s="158"/>
      <c r="AJ274" s="158" t="s">
        <v>2271</v>
      </c>
      <c r="AK274" s="158" t="s">
        <v>259</v>
      </c>
      <c r="AL274" s="158"/>
      <c r="AM274" s="158"/>
      <c r="AN274" s="158" t="s">
        <v>2272</v>
      </c>
      <c r="AO274" s="158" t="s">
        <v>259</v>
      </c>
      <c r="AP274" s="158" t="s">
        <v>2273</v>
      </c>
      <c r="AQ274" s="158"/>
      <c r="AR274" s="158"/>
      <c r="AS274" s="225">
        <v>14</v>
      </c>
      <c r="AT274" s="165"/>
      <c r="AU274" s="165"/>
      <c r="AV274" s="165"/>
      <c r="AW274" s="165"/>
      <c r="AX274" s="165"/>
      <c r="AY274" s="166"/>
      <c r="AZ274" s="166"/>
      <c r="BA274" s="166"/>
      <c r="BB274" s="161"/>
      <c r="BC274" s="165">
        <v>11</v>
      </c>
      <c r="BD274" s="165"/>
      <c r="BE274" s="157"/>
      <c r="BF274" s="157"/>
      <c r="BG274" s="158" t="s">
        <v>2269</v>
      </c>
      <c r="BH274" s="158" t="s">
        <v>2274</v>
      </c>
      <c r="BI274" s="158" t="s">
        <v>2274</v>
      </c>
      <c r="BJ274" s="158"/>
      <c r="BK274" s="156">
        <v>3</v>
      </c>
    </row>
    <row x14ac:dyDescent="0.25" r="275" customHeight="1" ht="31.5">
      <c r="A275" s="30">
        <v>10037</v>
      </c>
      <c r="B275" s="5" t="s">
        <v>2275</v>
      </c>
      <c r="C275" s="31" t="s">
        <v>2276</v>
      </c>
      <c r="D275" s="31" t="s">
        <v>2277</v>
      </c>
      <c r="E275" s="5"/>
      <c r="F275" s="5" t="s">
        <v>2278</v>
      </c>
      <c r="G275" s="5" t="s">
        <v>386</v>
      </c>
      <c r="H275" s="31"/>
      <c r="I275" s="32"/>
      <c r="J275" s="32"/>
      <c r="K275" s="5"/>
      <c r="L275" s="5"/>
      <c r="M275" s="5" t="s">
        <v>231</v>
      </c>
      <c r="N275" s="5" t="s">
        <v>579</v>
      </c>
      <c r="O275" s="33"/>
      <c r="P275" s="5"/>
      <c r="Q275" s="1" t="s">
        <v>233</v>
      </c>
      <c r="R275" s="31" t="s">
        <v>233</v>
      </c>
      <c r="S275" s="31"/>
      <c r="T275" s="31" t="s">
        <v>2277</v>
      </c>
      <c r="U275" s="31" t="s">
        <v>2276</v>
      </c>
      <c r="V275" s="5"/>
      <c r="W275" s="34">
        <v>0</v>
      </c>
      <c r="X275" s="31" t="s">
        <v>386</v>
      </c>
      <c r="Y275" s="5"/>
      <c r="Z275" s="20" t="s">
        <v>386</v>
      </c>
      <c r="AA275" s="31" t="s">
        <v>2277</v>
      </c>
      <c r="AB275" s="31" t="s">
        <v>2279</v>
      </c>
      <c r="AC275" s="5" t="s">
        <v>76</v>
      </c>
      <c r="AD275" s="31" t="s">
        <v>259</v>
      </c>
      <c r="AE275" s="36" t="s">
        <v>259</v>
      </c>
      <c r="AF275" s="31" t="s">
        <v>2280</v>
      </c>
      <c r="AG275" s="31"/>
      <c r="AH275" s="31"/>
      <c r="AI275" s="31"/>
      <c r="AJ275" s="31" t="s">
        <v>262</v>
      </c>
      <c r="AK275" s="31" t="s">
        <v>259</v>
      </c>
      <c r="AL275" s="31"/>
      <c r="AM275" s="31"/>
      <c r="AN275" s="31"/>
      <c r="AO275" s="31"/>
      <c r="AP275" s="31"/>
      <c r="AQ275" s="31"/>
      <c r="AR275" s="31"/>
      <c r="AS275" s="30">
        <v>133</v>
      </c>
      <c r="AT275" s="37"/>
      <c r="AU275" s="37"/>
      <c r="AV275" s="37"/>
      <c r="AW275" s="37"/>
      <c r="AX275" s="37"/>
      <c r="AY275" s="38"/>
      <c r="AZ275" s="38"/>
      <c r="BA275" s="38"/>
      <c r="BB275" s="46"/>
      <c r="BC275" s="37">
        <v>98</v>
      </c>
      <c r="BD275" s="37"/>
      <c r="BE275" s="5"/>
      <c r="BF275" s="5"/>
      <c r="BG275" s="31"/>
      <c r="BH275" s="31"/>
      <c r="BI275" s="31"/>
      <c r="BJ275" s="48"/>
      <c r="BK275" s="49">
        <v>3</v>
      </c>
    </row>
    <row x14ac:dyDescent="0.25" r="276" customHeight="1" ht="63">
      <c r="A276" s="156" t="s">
        <v>386</v>
      </c>
      <c r="B276" s="157" t="s">
        <v>386</v>
      </c>
      <c r="C276" s="158" t="s">
        <v>2281</v>
      </c>
      <c r="D276" s="158"/>
      <c r="E276" s="157"/>
      <c r="F276" s="157" t="s">
        <v>2282</v>
      </c>
      <c r="G276" s="157" t="s">
        <v>386</v>
      </c>
      <c r="H276" s="158" t="s">
        <v>386</v>
      </c>
      <c r="I276" s="159"/>
      <c r="J276" s="159"/>
      <c r="K276" s="157" t="s">
        <v>2283</v>
      </c>
      <c r="L276" s="157" t="s">
        <v>2283</v>
      </c>
      <c r="M276" s="157" t="s">
        <v>231</v>
      </c>
      <c r="N276" s="157" t="s">
        <v>386</v>
      </c>
      <c r="O276" s="160"/>
      <c r="P276" s="157"/>
      <c r="Q276" s="161" t="s">
        <v>251</v>
      </c>
      <c r="R276" s="158" t="s">
        <v>2284</v>
      </c>
      <c r="S276" s="158"/>
      <c r="T276" s="158"/>
      <c r="U276" s="158"/>
      <c r="V276" s="157"/>
      <c r="W276" s="162">
        <v>0</v>
      </c>
      <c r="X276" s="158" t="s">
        <v>386</v>
      </c>
      <c r="Y276" s="157"/>
      <c r="Z276" s="166" t="s">
        <v>386</v>
      </c>
      <c r="AA276" s="158" t="s">
        <v>2285</v>
      </c>
      <c r="AB276" s="226" t="s">
        <v>2286</v>
      </c>
      <c r="AC276" s="157" t="s">
        <v>76</v>
      </c>
      <c r="AD276" s="226" t="s">
        <v>259</v>
      </c>
      <c r="AE276" s="227" t="s">
        <v>259</v>
      </c>
      <c r="AF276" s="226" t="s">
        <v>2286</v>
      </c>
      <c r="AG276" s="226"/>
      <c r="AH276" s="226"/>
      <c r="AI276" s="226"/>
      <c r="AJ276" s="226" t="s">
        <v>747</v>
      </c>
      <c r="AK276" s="226" t="s">
        <v>259</v>
      </c>
      <c r="AL276" s="226"/>
      <c r="AM276" s="226"/>
      <c r="AN276" s="226"/>
      <c r="AO276" s="226"/>
      <c r="AP276" s="226"/>
      <c r="AQ276" s="226"/>
      <c r="AR276" s="226"/>
      <c r="AS276" s="156">
        <v>135</v>
      </c>
      <c r="AT276" s="165"/>
      <c r="AU276" s="165"/>
      <c r="AV276" s="165"/>
      <c r="AW276" s="165"/>
      <c r="AX276" s="165"/>
      <c r="AY276" s="166"/>
      <c r="AZ276" s="166"/>
      <c r="BA276" s="166"/>
      <c r="BB276" s="161"/>
      <c r="BC276" s="165"/>
      <c r="BD276" s="165"/>
      <c r="BE276" s="157"/>
      <c r="BF276" s="157"/>
      <c r="BG276" s="158"/>
      <c r="BH276" s="158"/>
      <c r="BI276" s="158"/>
      <c r="BJ276" s="158"/>
      <c r="BK276" s="156">
        <v>1</v>
      </c>
    </row>
    <row x14ac:dyDescent="0.25" r="277" customHeight="1" ht="56.25">
      <c r="A277" s="156" t="s">
        <v>1020</v>
      </c>
      <c r="B277" s="157" t="s">
        <v>386</v>
      </c>
      <c r="C277" s="158" t="s">
        <v>2287</v>
      </c>
      <c r="D277" s="158" t="s">
        <v>2288</v>
      </c>
      <c r="E277" s="157"/>
      <c r="F277" s="157" t="s">
        <v>703</v>
      </c>
      <c r="G277" s="157" t="s">
        <v>386</v>
      </c>
      <c r="H277" s="158" t="s">
        <v>386</v>
      </c>
      <c r="I277" s="158"/>
      <c r="J277" s="158"/>
      <c r="K277" s="157"/>
      <c r="L277" s="157"/>
      <c r="M277" s="157" t="s">
        <v>231</v>
      </c>
      <c r="N277" s="157" t="s">
        <v>386</v>
      </c>
      <c r="O277" s="160" t="s">
        <v>386</v>
      </c>
      <c r="P277" s="157" t="s">
        <v>386</v>
      </c>
      <c r="Q277" s="161" t="s">
        <v>251</v>
      </c>
      <c r="R277" s="158" t="s">
        <v>2289</v>
      </c>
      <c r="S277" s="158" t="s">
        <v>386</v>
      </c>
      <c r="T277" s="158" t="s">
        <v>2290</v>
      </c>
      <c r="U277" s="158" t="s">
        <v>2287</v>
      </c>
      <c r="V277" s="157"/>
      <c r="W277" s="162">
        <v>1</v>
      </c>
      <c r="X277" s="158" t="s">
        <v>581</v>
      </c>
      <c r="Y277" s="157" t="s">
        <v>386</v>
      </c>
      <c r="Z277" s="163">
        <v>1</v>
      </c>
      <c r="AA277" s="158" t="s">
        <v>2291</v>
      </c>
      <c r="AB277" s="158" t="s">
        <v>2292</v>
      </c>
      <c r="AC277" s="157" t="s">
        <v>76</v>
      </c>
      <c r="AD277" s="158" t="s">
        <v>259</v>
      </c>
      <c r="AE277" s="164" t="s">
        <v>259</v>
      </c>
      <c r="AF277" s="158" t="s">
        <v>2286</v>
      </c>
      <c r="AG277" s="158"/>
      <c r="AH277" s="158"/>
      <c r="AI277" s="158"/>
      <c r="AJ277" s="158"/>
      <c r="AK277" s="158"/>
      <c r="AL277" s="158"/>
      <c r="AM277" s="158"/>
      <c r="AN277" s="158" t="s">
        <v>2293</v>
      </c>
      <c r="AO277" s="158" t="s">
        <v>259</v>
      </c>
      <c r="AP277" s="158" t="s">
        <v>2292</v>
      </c>
      <c r="AQ277" s="158"/>
      <c r="AR277" s="158"/>
      <c r="AS277" s="156"/>
      <c r="AT277" s="165"/>
      <c r="AU277" s="165"/>
      <c r="AV277" s="165"/>
      <c r="AW277" s="165"/>
      <c r="AX277" s="165"/>
      <c r="AY277" s="166"/>
      <c r="AZ277" s="166"/>
      <c r="BA277" s="166"/>
      <c r="BB277" s="161"/>
      <c r="BC277" s="165"/>
      <c r="BD277" s="165"/>
      <c r="BE277" s="157"/>
      <c r="BF277" s="157"/>
      <c r="BG277" s="158" t="s">
        <v>2287</v>
      </c>
      <c r="BH277" s="158"/>
      <c r="BI277" s="158" t="s">
        <v>2287</v>
      </c>
      <c r="BJ277" s="158"/>
      <c r="BK277" s="156">
        <v>1</v>
      </c>
    </row>
    <row x14ac:dyDescent="0.25" r="278" customHeight="1" ht="31.5">
      <c r="A278" s="118">
        <v>10036</v>
      </c>
      <c r="B278" s="119" t="s">
        <v>2294</v>
      </c>
      <c r="C278" s="191" t="s">
        <v>2295</v>
      </c>
      <c r="D278" s="191" t="s">
        <v>2296</v>
      </c>
      <c r="E278" s="119"/>
      <c r="F278" s="119" t="s">
        <v>577</v>
      </c>
      <c r="G278" s="119" t="s">
        <v>386</v>
      </c>
      <c r="H278" s="191" t="s">
        <v>386</v>
      </c>
      <c r="I278" s="32"/>
      <c r="J278" s="32"/>
      <c r="K278" s="119"/>
      <c r="L278" s="119"/>
      <c r="M278" s="119" t="s">
        <v>231</v>
      </c>
      <c r="N278" s="119" t="s">
        <v>579</v>
      </c>
      <c r="O278" s="192"/>
      <c r="P278" s="119"/>
      <c r="Q278" s="46" t="s">
        <v>233</v>
      </c>
      <c r="R278" s="191" t="s">
        <v>233</v>
      </c>
      <c r="S278" s="191"/>
      <c r="T278" s="191" t="s">
        <v>2297</v>
      </c>
      <c r="U278" s="191" t="s">
        <v>2298</v>
      </c>
      <c r="V278" s="5"/>
      <c r="W278" s="40">
        <v>0</v>
      </c>
      <c r="X278" s="31" t="s">
        <v>386</v>
      </c>
      <c r="Y278" s="42" t="s">
        <v>2299</v>
      </c>
      <c r="Z278" s="193"/>
      <c r="AA278" s="191" t="s">
        <v>2296</v>
      </c>
      <c r="AB278" s="191" t="s">
        <v>2300</v>
      </c>
      <c r="AC278" s="5" t="s">
        <v>38</v>
      </c>
      <c r="AD278" s="119"/>
      <c r="AE278" s="228"/>
      <c r="AF278" s="119"/>
      <c r="AG278" s="119"/>
      <c r="AH278" s="119"/>
      <c r="AI278" s="119"/>
      <c r="AJ278" s="119"/>
      <c r="AK278" s="119"/>
      <c r="AL278" s="119"/>
      <c r="AM278" s="119"/>
      <c r="AN278" s="119"/>
      <c r="AO278" s="119"/>
      <c r="AP278" s="119"/>
      <c r="AQ278" s="119"/>
      <c r="AR278" s="119"/>
      <c r="AS278" s="118"/>
      <c r="AT278" s="121"/>
      <c r="AU278" s="121"/>
      <c r="AV278" s="121"/>
      <c r="AW278" s="121"/>
      <c r="AX278" s="121"/>
      <c r="AY278" s="38"/>
      <c r="AZ278" s="120"/>
      <c r="BA278" s="120"/>
      <c r="BB278" s="46"/>
      <c r="BC278" s="37"/>
      <c r="BD278" s="37"/>
      <c r="BE278" s="5"/>
      <c r="BF278" s="5"/>
      <c r="BG278" s="191"/>
      <c r="BH278" s="31"/>
      <c r="BI278" s="31"/>
      <c r="BJ278" s="48"/>
      <c r="BK278" s="49"/>
    </row>
    <row x14ac:dyDescent="0.25" r="279" customHeight="1" ht="31.5">
      <c r="A279" s="30">
        <v>10011</v>
      </c>
      <c r="B279" s="5" t="s">
        <v>2301</v>
      </c>
      <c r="C279" s="31" t="s">
        <v>2301</v>
      </c>
      <c r="D279" s="31" t="s">
        <v>2302</v>
      </c>
      <c r="E279" s="5"/>
      <c r="F279" s="5" t="s">
        <v>637</v>
      </c>
      <c r="G279" s="5" t="s">
        <v>386</v>
      </c>
      <c r="H279" s="31" t="s">
        <v>386</v>
      </c>
      <c r="I279" s="32"/>
      <c r="J279" s="32"/>
      <c r="K279" s="5"/>
      <c r="L279" s="5"/>
      <c r="M279" s="5" t="s">
        <v>231</v>
      </c>
      <c r="N279" s="5" t="s">
        <v>580</v>
      </c>
      <c r="O279" s="33"/>
      <c r="P279" s="5"/>
      <c r="Q279" s="1" t="s">
        <v>233</v>
      </c>
      <c r="R279" s="31" t="s">
        <v>233</v>
      </c>
      <c r="S279" s="31"/>
      <c r="T279" s="31"/>
      <c r="U279" s="31" t="s">
        <v>2301</v>
      </c>
      <c r="V279" s="5"/>
      <c r="W279" s="40">
        <v>0</v>
      </c>
      <c r="X279" s="31" t="s">
        <v>386</v>
      </c>
      <c r="Y279" s="42"/>
      <c r="Z279" s="35">
        <v>1</v>
      </c>
      <c r="AA279" s="31" t="s">
        <v>2303</v>
      </c>
      <c r="AB279" s="31" t="s">
        <v>2304</v>
      </c>
      <c r="AC279" s="5" t="s">
        <v>24</v>
      </c>
      <c r="AD279" s="31" t="s">
        <v>259</v>
      </c>
      <c r="AE279" s="36" t="s">
        <v>1366</v>
      </c>
      <c r="AF279" s="31" t="s">
        <v>2305</v>
      </c>
      <c r="AG279" s="31"/>
      <c r="AH279" s="31"/>
      <c r="AI279" s="31"/>
      <c r="AJ279" s="31" t="s">
        <v>262</v>
      </c>
      <c r="AK279" s="31" t="s">
        <v>259</v>
      </c>
      <c r="AL279" s="31"/>
      <c r="AM279" s="31"/>
      <c r="AN279" s="31"/>
      <c r="AO279" s="31"/>
      <c r="AP279" s="31"/>
      <c r="AQ279" s="31"/>
      <c r="AR279" s="31"/>
      <c r="AS279" s="30"/>
      <c r="AT279" s="37"/>
      <c r="AU279" s="37"/>
      <c r="AV279" s="37"/>
      <c r="AW279" s="37"/>
      <c r="AX279" s="37"/>
      <c r="AY279" s="38"/>
      <c r="AZ279" s="38"/>
      <c r="BA279" s="38"/>
      <c r="BB279" s="46"/>
      <c r="BC279" s="37"/>
      <c r="BD279" s="37"/>
      <c r="BE279" s="5"/>
      <c r="BF279" s="5"/>
      <c r="BG279" s="31"/>
      <c r="BH279" s="31"/>
      <c r="BI279" s="31"/>
      <c r="BJ279" s="48"/>
      <c r="BK279" s="49"/>
    </row>
    <row x14ac:dyDescent="0.25" r="280" customHeight="1" ht="31.5">
      <c r="A280" s="30" t="s">
        <v>2306</v>
      </c>
      <c r="B280" s="5" t="s">
        <v>2307</v>
      </c>
      <c r="C280" s="31" t="s">
        <v>2308</v>
      </c>
      <c r="D280" s="31" t="s">
        <v>2309</v>
      </c>
      <c r="E280" s="5"/>
      <c r="F280" s="5" t="s">
        <v>282</v>
      </c>
      <c r="G280" s="5" t="s">
        <v>386</v>
      </c>
      <c r="H280" s="31" t="s">
        <v>386</v>
      </c>
      <c r="I280" s="32"/>
      <c r="J280" s="32"/>
      <c r="K280" s="5"/>
      <c r="L280" s="5"/>
      <c r="M280" s="5" t="s">
        <v>231</v>
      </c>
      <c r="N280" s="5" t="s">
        <v>250</v>
      </c>
      <c r="O280" s="33"/>
      <c r="P280" s="5"/>
      <c r="Q280" s="1" t="s">
        <v>251</v>
      </c>
      <c r="R280" s="31" t="s">
        <v>252</v>
      </c>
      <c r="S280" s="31"/>
      <c r="T280" s="31" t="s">
        <v>2310</v>
      </c>
      <c r="U280" s="31" t="s">
        <v>2311</v>
      </c>
      <c r="V280" s="5"/>
      <c r="W280" s="34">
        <v>0</v>
      </c>
      <c r="X280" s="31" t="s">
        <v>386</v>
      </c>
      <c r="Y280" s="5" t="s">
        <v>288</v>
      </c>
      <c r="Z280" s="34">
        <v>0</v>
      </c>
      <c r="AA280" s="31" t="s">
        <v>2312</v>
      </c>
      <c r="AB280" s="31"/>
      <c r="AC280" s="5" t="s">
        <v>64</v>
      </c>
      <c r="AD280" s="31"/>
      <c r="AE280" s="36"/>
      <c r="AF280" s="31"/>
      <c r="AG280" s="31"/>
      <c r="AH280" s="31"/>
      <c r="AI280" s="31"/>
      <c r="AJ280" s="31"/>
      <c r="AK280" s="31"/>
      <c r="AL280" s="31"/>
      <c r="AM280" s="31"/>
      <c r="AN280" s="31"/>
      <c r="AO280" s="31"/>
      <c r="AP280" s="31"/>
      <c r="AQ280" s="31"/>
      <c r="AR280" s="31"/>
      <c r="AS280" s="30"/>
      <c r="AT280" s="37"/>
      <c r="AU280" s="37"/>
      <c r="AV280" s="37"/>
      <c r="AW280" s="37"/>
      <c r="AX280" s="37"/>
      <c r="AY280" s="38"/>
      <c r="AZ280" s="38"/>
      <c r="BA280" s="38"/>
      <c r="BB280" s="46"/>
      <c r="BC280" s="37"/>
      <c r="BD280" s="37"/>
      <c r="BE280" s="5"/>
      <c r="BF280" s="5"/>
      <c r="BG280" s="31"/>
      <c r="BH280" s="31"/>
      <c r="BI280" s="31"/>
      <c r="BJ280" s="48"/>
      <c r="BK280" s="49"/>
    </row>
    <row x14ac:dyDescent="0.25" r="281" customHeight="1" ht="31.5">
      <c r="A281" s="35" t="s">
        <v>1020</v>
      </c>
      <c r="B281" s="5" t="s">
        <v>386</v>
      </c>
      <c r="C281" s="5" t="s">
        <v>2313</v>
      </c>
      <c r="D281" s="31" t="s">
        <v>2314</v>
      </c>
      <c r="E281" s="5"/>
      <c r="F281" s="5" t="s">
        <v>637</v>
      </c>
      <c r="G281" s="5" t="s">
        <v>386</v>
      </c>
      <c r="H281" s="31" t="s">
        <v>386</v>
      </c>
      <c r="I281" s="31"/>
      <c r="J281" s="31"/>
      <c r="K281" s="5"/>
      <c r="L281" s="5"/>
      <c r="M281" s="5" t="s">
        <v>231</v>
      </c>
      <c r="N281" s="5" t="s">
        <v>1730</v>
      </c>
      <c r="O281" s="33" t="s">
        <v>251</v>
      </c>
      <c r="P281" s="5"/>
      <c r="Q281" s="5" t="s">
        <v>2315</v>
      </c>
      <c r="R281" s="31" t="s">
        <v>755</v>
      </c>
      <c r="S281" s="31" t="s">
        <v>1730</v>
      </c>
      <c r="T281" s="5" t="s">
        <v>2316</v>
      </c>
      <c r="U281" s="5" t="s">
        <v>2317</v>
      </c>
      <c r="V281" s="5"/>
      <c r="W281" s="40">
        <v>0</v>
      </c>
      <c r="X281" s="31" t="s">
        <v>386</v>
      </c>
      <c r="Y281" s="5"/>
      <c r="Z281" s="38" t="s">
        <v>386</v>
      </c>
      <c r="AA281" s="31" t="s">
        <v>2314</v>
      </c>
      <c r="AB281" s="5" t="s">
        <v>2318</v>
      </c>
      <c r="AC281" s="5" t="s">
        <v>24</v>
      </c>
      <c r="AD281" s="5" t="s">
        <v>1733</v>
      </c>
      <c r="AE281" s="36" t="s">
        <v>2319</v>
      </c>
      <c r="AF281" s="31" t="s">
        <v>672</v>
      </c>
      <c r="AG281" s="31" t="s">
        <v>42</v>
      </c>
      <c r="AH281" s="31"/>
      <c r="AI281" s="31"/>
      <c r="AJ281" s="31"/>
      <c r="AK281" s="31"/>
      <c r="AL281" s="31"/>
      <c r="AM281" s="31"/>
      <c r="AN281" s="31"/>
      <c r="AO281" s="31"/>
      <c r="AP281" s="31"/>
      <c r="AQ281" s="31"/>
      <c r="AR281" s="31"/>
      <c r="AS281" s="30">
        <v>138</v>
      </c>
      <c r="AT281" s="37"/>
      <c r="AU281" s="37"/>
      <c r="AV281" s="37"/>
      <c r="AW281" s="37"/>
      <c r="AX281" s="37"/>
      <c r="AY281" s="38"/>
      <c r="AZ281" s="38"/>
      <c r="BA281" s="34">
        <v>6</v>
      </c>
      <c r="BB281" s="46"/>
      <c r="BC281" s="37"/>
      <c r="BD281" s="37"/>
      <c r="BE281" s="5"/>
      <c r="BF281" s="5"/>
      <c r="BG281" s="5"/>
      <c r="BH281" s="5"/>
      <c r="BI281" s="5"/>
      <c r="BJ281" s="57"/>
      <c r="BK281" s="229"/>
    </row>
    <row x14ac:dyDescent="0.25" r="282" customHeight="1" ht="31.5">
      <c r="A282" s="35" t="s">
        <v>1020</v>
      </c>
      <c r="B282" s="5" t="s">
        <v>386</v>
      </c>
      <c r="C282" s="5" t="s">
        <v>2320</v>
      </c>
      <c r="D282" s="31" t="s">
        <v>2321</v>
      </c>
      <c r="E282" s="5"/>
      <c r="F282" s="5" t="s">
        <v>637</v>
      </c>
      <c r="G282" s="5" t="s">
        <v>386</v>
      </c>
      <c r="H282" s="31" t="s">
        <v>386</v>
      </c>
      <c r="I282" s="31"/>
      <c r="J282" s="31"/>
      <c r="K282" s="5"/>
      <c r="L282" s="5"/>
      <c r="M282" s="5" t="s">
        <v>231</v>
      </c>
      <c r="N282" s="5" t="s">
        <v>1730</v>
      </c>
      <c r="O282" s="33" t="s">
        <v>251</v>
      </c>
      <c r="P282" s="5"/>
      <c r="Q282" s="5" t="s">
        <v>2315</v>
      </c>
      <c r="R282" s="31" t="s">
        <v>755</v>
      </c>
      <c r="S282" s="31" t="s">
        <v>1730</v>
      </c>
      <c r="T282" s="5" t="s">
        <v>2316</v>
      </c>
      <c r="U282" s="5" t="s">
        <v>2322</v>
      </c>
      <c r="V282" s="5"/>
      <c r="W282" s="40">
        <v>0</v>
      </c>
      <c r="X282" s="31" t="s">
        <v>386</v>
      </c>
      <c r="Y282" s="5"/>
      <c r="Z282" s="38" t="s">
        <v>386</v>
      </c>
      <c r="AA282" s="31" t="s">
        <v>2321</v>
      </c>
      <c r="AB282" s="5" t="s">
        <v>2323</v>
      </c>
      <c r="AC282" s="5" t="s">
        <v>24</v>
      </c>
      <c r="AD282" s="5" t="s">
        <v>1733</v>
      </c>
      <c r="AE282" s="36" t="s">
        <v>2319</v>
      </c>
      <c r="AF282" s="31" t="s">
        <v>649</v>
      </c>
      <c r="AG282" s="31" t="s">
        <v>42</v>
      </c>
      <c r="AH282" s="31"/>
      <c r="AI282" s="31"/>
      <c r="AJ282" s="31"/>
      <c r="AK282" s="31"/>
      <c r="AL282" s="31"/>
      <c r="AM282" s="31"/>
      <c r="AN282" s="31"/>
      <c r="AO282" s="31"/>
      <c r="AP282" s="31"/>
      <c r="AQ282" s="31"/>
      <c r="AR282" s="31"/>
      <c r="AS282" s="30">
        <v>137</v>
      </c>
      <c r="AT282" s="37"/>
      <c r="AU282" s="37"/>
      <c r="AV282" s="37"/>
      <c r="AW282" s="37"/>
      <c r="AX282" s="37"/>
      <c r="AY282" s="38"/>
      <c r="AZ282" s="38"/>
      <c r="BA282" s="34">
        <v>5</v>
      </c>
      <c r="BB282" s="46"/>
      <c r="BC282" s="37"/>
      <c r="BD282" s="37"/>
      <c r="BE282" s="5"/>
      <c r="BF282" s="5"/>
      <c r="BG282" s="5"/>
      <c r="BH282" s="5"/>
      <c r="BI282" s="5"/>
      <c r="BJ282" s="57"/>
      <c r="BK282" s="229"/>
    </row>
    <row x14ac:dyDescent="0.25" r="283" customHeight="1" ht="31.5">
      <c r="A283" s="35" t="s">
        <v>1020</v>
      </c>
      <c r="B283" s="5" t="s">
        <v>386</v>
      </c>
      <c r="C283" s="5" t="s">
        <v>2324</v>
      </c>
      <c r="D283" s="31" t="s">
        <v>2324</v>
      </c>
      <c r="E283" s="5"/>
      <c r="F283" s="5" t="s">
        <v>637</v>
      </c>
      <c r="G283" s="5" t="s">
        <v>386</v>
      </c>
      <c r="H283" s="31" t="s">
        <v>386</v>
      </c>
      <c r="I283" s="31"/>
      <c r="J283" s="31"/>
      <c r="K283" s="5"/>
      <c r="L283" s="5"/>
      <c r="M283" s="5" t="s">
        <v>231</v>
      </c>
      <c r="N283" s="5" t="s">
        <v>1730</v>
      </c>
      <c r="O283" s="33" t="s">
        <v>251</v>
      </c>
      <c r="P283" s="5"/>
      <c r="Q283" s="5" t="s">
        <v>2315</v>
      </c>
      <c r="R283" s="31" t="s">
        <v>755</v>
      </c>
      <c r="S283" s="31" t="s">
        <v>1730</v>
      </c>
      <c r="T283" s="5" t="s">
        <v>2316</v>
      </c>
      <c r="U283" s="5" t="s">
        <v>2325</v>
      </c>
      <c r="V283" s="5"/>
      <c r="W283" s="40">
        <v>0</v>
      </c>
      <c r="X283" s="31" t="s">
        <v>386</v>
      </c>
      <c r="Y283" s="5"/>
      <c r="Z283" s="38" t="s">
        <v>386</v>
      </c>
      <c r="AA283" s="31" t="s">
        <v>2326</v>
      </c>
      <c r="AB283" s="5" t="s">
        <v>2327</v>
      </c>
      <c r="AC283" s="5" t="s">
        <v>24</v>
      </c>
      <c r="AD283" s="5" t="s">
        <v>1733</v>
      </c>
      <c r="AE283" s="36" t="s">
        <v>2319</v>
      </c>
      <c r="AF283" s="31" t="s">
        <v>641</v>
      </c>
      <c r="AG283" s="31" t="s">
        <v>42</v>
      </c>
      <c r="AH283" s="31"/>
      <c r="AI283" s="31"/>
      <c r="AJ283" s="31"/>
      <c r="AK283" s="31"/>
      <c r="AL283" s="31"/>
      <c r="AM283" s="31"/>
      <c r="AN283" s="31"/>
      <c r="AO283" s="31"/>
      <c r="AP283" s="31"/>
      <c r="AQ283" s="31"/>
      <c r="AR283" s="31"/>
      <c r="AS283" s="30">
        <v>136</v>
      </c>
      <c r="AT283" s="37"/>
      <c r="AU283" s="37"/>
      <c r="AV283" s="37"/>
      <c r="AW283" s="37"/>
      <c r="AX283" s="37"/>
      <c r="AY283" s="38"/>
      <c r="AZ283" s="38"/>
      <c r="BA283" s="34">
        <v>9</v>
      </c>
      <c r="BB283" s="46"/>
      <c r="BC283" s="37"/>
      <c r="BD283" s="37"/>
      <c r="BE283" s="5"/>
      <c r="BF283" s="5"/>
      <c r="BG283" s="5"/>
      <c r="BH283" s="5"/>
      <c r="BI283" s="5"/>
      <c r="BJ283" s="57"/>
      <c r="BK283" s="229"/>
    </row>
    <row x14ac:dyDescent="0.25" r="284" customHeight="1" ht="31.5">
      <c r="A284" s="35" t="s">
        <v>1020</v>
      </c>
      <c r="B284" s="5" t="s">
        <v>386</v>
      </c>
      <c r="C284" s="5" t="s">
        <v>2328</v>
      </c>
      <c r="D284" s="31" t="s">
        <v>2328</v>
      </c>
      <c r="E284" s="5"/>
      <c r="F284" s="5" t="s">
        <v>637</v>
      </c>
      <c r="G284" s="5" t="s">
        <v>386</v>
      </c>
      <c r="H284" s="31" t="s">
        <v>386</v>
      </c>
      <c r="I284" s="31"/>
      <c r="J284" s="31"/>
      <c r="K284" s="5"/>
      <c r="L284" s="5"/>
      <c r="M284" s="5" t="s">
        <v>231</v>
      </c>
      <c r="N284" s="5" t="s">
        <v>1730</v>
      </c>
      <c r="O284" s="33" t="s">
        <v>251</v>
      </c>
      <c r="P284" s="5"/>
      <c r="Q284" s="5" t="s">
        <v>2315</v>
      </c>
      <c r="R284" s="31" t="s">
        <v>755</v>
      </c>
      <c r="S284" s="31" t="s">
        <v>1730</v>
      </c>
      <c r="T284" s="5" t="s">
        <v>2316</v>
      </c>
      <c r="U284" s="5" t="s">
        <v>2329</v>
      </c>
      <c r="V284" s="5"/>
      <c r="W284" s="40">
        <v>0</v>
      </c>
      <c r="X284" s="31" t="s">
        <v>386</v>
      </c>
      <c r="Y284" s="5"/>
      <c r="Z284" s="38" t="s">
        <v>386</v>
      </c>
      <c r="AA284" s="31" t="s">
        <v>2328</v>
      </c>
      <c r="AB284" s="5" t="s">
        <v>2330</v>
      </c>
      <c r="AC284" s="5" t="s">
        <v>24</v>
      </c>
      <c r="AD284" s="5" t="s">
        <v>1733</v>
      </c>
      <c r="AE284" s="36" t="s">
        <v>2319</v>
      </c>
      <c r="AF284" s="31" t="s">
        <v>664</v>
      </c>
      <c r="AG284" s="31" t="s">
        <v>42</v>
      </c>
      <c r="AH284" s="31"/>
      <c r="AI284" s="31"/>
      <c r="AJ284" s="31"/>
      <c r="AK284" s="31"/>
      <c r="AL284" s="31"/>
      <c r="AM284" s="31"/>
      <c r="AN284" s="31"/>
      <c r="AO284" s="31"/>
      <c r="AP284" s="31"/>
      <c r="AQ284" s="31"/>
      <c r="AR284" s="31"/>
      <c r="AS284" s="30">
        <v>139</v>
      </c>
      <c r="AT284" s="37"/>
      <c r="AU284" s="37"/>
      <c r="AV284" s="37"/>
      <c r="AW284" s="37"/>
      <c r="AX284" s="37"/>
      <c r="AY284" s="38"/>
      <c r="AZ284" s="38"/>
      <c r="BA284" s="34">
        <v>7</v>
      </c>
      <c r="BB284" s="46"/>
      <c r="BC284" s="37"/>
      <c r="BD284" s="37"/>
      <c r="BE284" s="5"/>
      <c r="BF284" s="5"/>
      <c r="BG284" s="5"/>
      <c r="BH284" s="5"/>
      <c r="BI284" s="5"/>
      <c r="BJ284" s="57"/>
      <c r="BK284" s="229"/>
    </row>
    <row x14ac:dyDescent="0.25" r="285" customHeight="1" ht="31.5">
      <c r="A285" s="35" t="s">
        <v>1020</v>
      </c>
      <c r="B285" s="5" t="s">
        <v>386</v>
      </c>
      <c r="C285" s="5" t="s">
        <v>2331</v>
      </c>
      <c r="D285" s="31" t="s">
        <v>2331</v>
      </c>
      <c r="E285" s="5"/>
      <c r="F285" s="5" t="s">
        <v>637</v>
      </c>
      <c r="G285" s="5" t="s">
        <v>386</v>
      </c>
      <c r="H285" s="31" t="s">
        <v>386</v>
      </c>
      <c r="I285" s="31"/>
      <c r="J285" s="31"/>
      <c r="K285" s="5"/>
      <c r="L285" s="5"/>
      <c r="M285" s="5" t="s">
        <v>231</v>
      </c>
      <c r="N285" s="5" t="s">
        <v>1730</v>
      </c>
      <c r="O285" s="33" t="s">
        <v>251</v>
      </c>
      <c r="P285" s="5"/>
      <c r="Q285" s="5" t="s">
        <v>2315</v>
      </c>
      <c r="R285" s="31" t="s">
        <v>755</v>
      </c>
      <c r="S285" s="31" t="s">
        <v>1730</v>
      </c>
      <c r="T285" s="5" t="s">
        <v>2316</v>
      </c>
      <c r="U285" s="5" t="s">
        <v>2332</v>
      </c>
      <c r="V285" s="5"/>
      <c r="W285" s="40">
        <v>0</v>
      </c>
      <c r="X285" s="31" t="s">
        <v>386</v>
      </c>
      <c r="Y285" s="5"/>
      <c r="Z285" s="38" t="s">
        <v>386</v>
      </c>
      <c r="AA285" s="31" t="s">
        <v>2331</v>
      </c>
      <c r="AB285" s="5" t="s">
        <v>2333</v>
      </c>
      <c r="AC285" s="5" t="s">
        <v>24</v>
      </c>
      <c r="AD285" s="5" t="s">
        <v>1733</v>
      </c>
      <c r="AE285" s="36" t="s">
        <v>2319</v>
      </c>
      <c r="AF285" s="31" t="s">
        <v>656</v>
      </c>
      <c r="AG285" s="31" t="s">
        <v>42</v>
      </c>
      <c r="AH285" s="31"/>
      <c r="AI285" s="31"/>
      <c r="AJ285" s="31"/>
      <c r="AK285" s="31"/>
      <c r="AL285" s="31"/>
      <c r="AM285" s="31"/>
      <c r="AN285" s="31"/>
      <c r="AO285" s="31"/>
      <c r="AP285" s="31"/>
      <c r="AQ285" s="31"/>
      <c r="AR285" s="31"/>
      <c r="AS285" s="30">
        <v>140</v>
      </c>
      <c r="AT285" s="37"/>
      <c r="AU285" s="37"/>
      <c r="AV285" s="37"/>
      <c r="AW285" s="37"/>
      <c r="AX285" s="37"/>
      <c r="AY285" s="38"/>
      <c r="AZ285" s="38"/>
      <c r="BA285" s="34">
        <v>8</v>
      </c>
      <c r="BB285" s="46"/>
      <c r="BC285" s="37"/>
      <c r="BD285" s="37"/>
      <c r="BE285" s="5"/>
      <c r="BF285" s="5"/>
      <c r="BG285" s="5"/>
      <c r="BH285" s="5"/>
      <c r="BI285" s="5"/>
      <c r="BJ285" s="57"/>
      <c r="BK285" s="229"/>
    </row>
    <row x14ac:dyDescent="0.25" r="286" customHeight="1" ht="31.5">
      <c r="A286" s="118" t="s">
        <v>387</v>
      </c>
      <c r="B286" s="119" t="s">
        <v>1712</v>
      </c>
      <c r="C286" s="191" t="s">
        <v>2334</v>
      </c>
      <c r="D286" s="191" t="s">
        <v>2335</v>
      </c>
      <c r="E286" s="119"/>
      <c r="F286" s="119" t="s">
        <v>577</v>
      </c>
      <c r="G286" s="119" t="s">
        <v>2336</v>
      </c>
      <c r="H286" s="191" t="s">
        <v>2337</v>
      </c>
      <c r="I286" s="32"/>
      <c r="J286" s="32"/>
      <c r="K286" s="119"/>
      <c r="L286" s="119"/>
      <c r="M286" s="119" t="s">
        <v>231</v>
      </c>
      <c r="N286" s="119"/>
      <c r="O286" s="192"/>
      <c r="P286" s="119"/>
      <c r="Q286" s="46"/>
      <c r="R286" s="191"/>
      <c r="S286" s="191"/>
      <c r="T286" s="191" t="s">
        <v>2338</v>
      </c>
      <c r="U286" s="191" t="s">
        <v>2339</v>
      </c>
      <c r="V286" s="5"/>
      <c r="W286" s="40">
        <v>0</v>
      </c>
      <c r="X286" s="31" t="s">
        <v>386</v>
      </c>
      <c r="Y286" s="42" t="s">
        <v>1718</v>
      </c>
      <c r="Z286" s="193" t="s">
        <v>386</v>
      </c>
      <c r="AA286" s="191"/>
      <c r="AB286" s="191" t="s">
        <v>2340</v>
      </c>
      <c r="AC286" s="5" t="s">
        <v>38</v>
      </c>
      <c r="AD286" s="191"/>
      <c r="AE286" s="194"/>
      <c r="AF286" s="230"/>
      <c r="AG286" s="191"/>
      <c r="AH286" s="191"/>
      <c r="AI286" s="191"/>
      <c r="AJ286" s="191"/>
      <c r="AK286" s="191"/>
      <c r="AL286" s="191"/>
      <c r="AM286" s="191"/>
      <c r="AN286" s="191"/>
      <c r="AO286" s="191"/>
      <c r="AP286" s="191"/>
      <c r="AQ286" s="191"/>
      <c r="AR286" s="191"/>
      <c r="AS286" s="118"/>
      <c r="AT286" s="121"/>
      <c r="AU286" s="121"/>
      <c r="AV286" s="121"/>
      <c r="AW286" s="121"/>
      <c r="AX286" s="121"/>
      <c r="AY286" s="38"/>
      <c r="AZ286" s="120"/>
      <c r="BA286" s="120"/>
      <c r="BB286" s="46"/>
      <c r="BC286" s="37"/>
      <c r="BD286" s="37"/>
      <c r="BE286" s="5"/>
      <c r="BF286" s="5"/>
      <c r="BG286" s="191"/>
      <c r="BH286" s="191"/>
      <c r="BI286" s="191"/>
      <c r="BJ286" s="48"/>
      <c r="BK286" s="49"/>
    </row>
    <row x14ac:dyDescent="0.25" r="287" customHeight="1" ht="31.5">
      <c r="A287" s="30" t="s">
        <v>2341</v>
      </c>
      <c r="B287" s="5" t="s">
        <v>386</v>
      </c>
      <c r="C287" s="31" t="s">
        <v>2342</v>
      </c>
      <c r="D287" s="31" t="s">
        <v>2343</v>
      </c>
      <c r="E287" s="5"/>
      <c r="F287" s="5" t="s">
        <v>637</v>
      </c>
      <c r="G287" s="5" t="s">
        <v>2344</v>
      </c>
      <c r="H287" s="31" t="s">
        <v>386</v>
      </c>
      <c r="I287" s="32"/>
      <c r="J287" s="32"/>
      <c r="K287" s="5"/>
      <c r="L287" s="5"/>
      <c r="M287" s="5" t="s">
        <v>231</v>
      </c>
      <c r="N287" s="5"/>
      <c r="O287" s="33" t="s">
        <v>386</v>
      </c>
      <c r="P287" s="5" t="s">
        <v>386</v>
      </c>
      <c r="Q287" s="54" t="s">
        <v>2345</v>
      </c>
      <c r="R287" s="31" t="s">
        <v>2346</v>
      </c>
      <c r="S287" s="31" t="s">
        <v>1023</v>
      </c>
      <c r="T287" s="31"/>
      <c r="U287" s="31" t="s">
        <v>2347</v>
      </c>
      <c r="V287" s="5"/>
      <c r="W287" s="34">
        <v>0</v>
      </c>
      <c r="X287" s="31" t="s">
        <v>386</v>
      </c>
      <c r="Y287" s="5" t="s">
        <v>386</v>
      </c>
      <c r="Z287" s="38" t="s">
        <v>386</v>
      </c>
      <c r="AA287" s="31" t="s">
        <v>386</v>
      </c>
      <c r="AB287" s="31" t="s">
        <v>2348</v>
      </c>
      <c r="AC287" s="5" t="s">
        <v>24</v>
      </c>
      <c r="AD287" s="31" t="s">
        <v>259</v>
      </c>
      <c r="AE287" s="36" t="s">
        <v>2349</v>
      </c>
      <c r="AF287" s="31" t="s">
        <v>2350</v>
      </c>
      <c r="AG287" s="31"/>
      <c r="AH287" s="31"/>
      <c r="AI287" s="31"/>
      <c r="AJ287" s="5" t="s">
        <v>262</v>
      </c>
      <c r="AK287" s="5" t="s">
        <v>259</v>
      </c>
      <c r="AL287" s="31"/>
      <c r="AM287" s="31"/>
      <c r="AN287" s="31"/>
      <c r="AO287" s="31"/>
      <c r="AP287" s="31"/>
      <c r="AQ287" s="31"/>
      <c r="AR287" s="31" t="s">
        <v>2351</v>
      </c>
      <c r="AS287" s="30">
        <v>132</v>
      </c>
      <c r="AT287" s="37"/>
      <c r="AU287" s="37"/>
      <c r="AV287" s="37"/>
      <c r="AW287" s="37"/>
      <c r="AX287" s="37"/>
      <c r="AY287" s="38"/>
      <c r="AZ287" s="38"/>
      <c r="BA287" s="38"/>
      <c r="BB287" s="46"/>
      <c r="BC287" s="37"/>
      <c r="BD287" s="37"/>
      <c r="BE287" s="5"/>
      <c r="BF287" s="5"/>
      <c r="BG287" s="31"/>
      <c r="BH287" s="31"/>
      <c r="BI287" s="31"/>
      <c r="BJ287" s="48"/>
      <c r="BK287" s="49"/>
    </row>
    <row x14ac:dyDescent="0.25" r="288" customHeight="1" ht="31.5">
      <c r="A288" s="30">
        <v>40021</v>
      </c>
      <c r="B288" s="5" t="s">
        <v>2352</v>
      </c>
      <c r="C288" s="31" t="s">
        <v>2353</v>
      </c>
      <c r="D288" s="31" t="s">
        <v>2353</v>
      </c>
      <c r="E288" s="5"/>
      <c r="F288" s="5" t="s">
        <v>2354</v>
      </c>
      <c r="G288" s="5" t="s">
        <v>1728</v>
      </c>
      <c r="H288" s="31" t="s">
        <v>386</v>
      </c>
      <c r="I288" s="31"/>
      <c r="J288" s="31"/>
      <c r="K288" s="5"/>
      <c r="L288" s="5"/>
      <c r="M288" s="5" t="s">
        <v>231</v>
      </c>
      <c r="N288" s="5" t="s">
        <v>1730</v>
      </c>
      <c r="O288" s="33"/>
      <c r="P288" s="5"/>
      <c r="Q288" s="1"/>
      <c r="R288" s="31"/>
      <c r="S288" s="31"/>
      <c r="T288" s="31"/>
      <c r="U288" s="31" t="s">
        <v>2353</v>
      </c>
      <c r="V288" s="5"/>
      <c r="W288" s="40">
        <v>0</v>
      </c>
      <c r="X288" s="31" t="s">
        <v>386</v>
      </c>
      <c r="Y288" s="42"/>
      <c r="Z288" s="20" t="s">
        <v>386</v>
      </c>
      <c r="AA288" s="31"/>
      <c r="AB288" s="5" t="s">
        <v>2355</v>
      </c>
      <c r="AC288" s="5" t="s">
        <v>76</v>
      </c>
      <c r="AD288" s="5" t="s">
        <v>1733</v>
      </c>
      <c r="AE288" s="169" t="s">
        <v>1734</v>
      </c>
      <c r="AF288" s="5" t="s">
        <v>2356</v>
      </c>
      <c r="AG288" s="5"/>
      <c r="AH288" s="5"/>
      <c r="AI288" s="5"/>
      <c r="AJ288" s="5"/>
      <c r="AK288" s="5"/>
      <c r="AL288" s="5"/>
      <c r="AM288" s="5"/>
      <c r="AN288" s="5"/>
      <c r="AO288" s="5"/>
      <c r="AP288" s="5"/>
      <c r="AQ288" s="5"/>
      <c r="AR288" s="5"/>
      <c r="AS288" s="30"/>
      <c r="AT288" s="37"/>
      <c r="AU288" s="37"/>
      <c r="AV288" s="37"/>
      <c r="AW288" s="37"/>
      <c r="AX288" s="37"/>
      <c r="AY288" s="38"/>
      <c r="AZ288" s="38"/>
      <c r="BA288" s="34">
        <v>18</v>
      </c>
      <c r="BB288" s="46"/>
      <c r="BC288" s="37"/>
      <c r="BD288" s="37"/>
      <c r="BE288" s="5"/>
      <c r="BF288" s="5"/>
      <c r="BG288" s="31"/>
      <c r="BH288" s="31"/>
      <c r="BI288" s="31"/>
      <c r="BJ288" s="48"/>
      <c r="BK288" s="49"/>
    </row>
    <row x14ac:dyDescent="0.25" r="289" customHeight="1" ht="31.5">
      <c r="A289" s="30">
        <v>40022</v>
      </c>
      <c r="B289" s="5" t="s">
        <v>2357</v>
      </c>
      <c r="C289" s="31" t="s">
        <v>2358</v>
      </c>
      <c r="D289" s="31" t="s">
        <v>2359</v>
      </c>
      <c r="E289" s="5"/>
      <c r="F289" s="5" t="s">
        <v>2360</v>
      </c>
      <c r="G289" s="5" t="s">
        <v>1728</v>
      </c>
      <c r="H289" s="31" t="s">
        <v>386</v>
      </c>
      <c r="I289" s="31"/>
      <c r="J289" s="31"/>
      <c r="K289" s="5"/>
      <c r="L289" s="5"/>
      <c r="M289" s="5" t="s">
        <v>231</v>
      </c>
      <c r="N289" s="5" t="s">
        <v>1730</v>
      </c>
      <c r="O289" s="33"/>
      <c r="P289" s="5"/>
      <c r="Q289" s="5" t="s">
        <v>251</v>
      </c>
      <c r="R289" s="31" t="s">
        <v>755</v>
      </c>
      <c r="S289" s="31"/>
      <c r="T289" s="31"/>
      <c r="U289" s="31" t="s">
        <v>2358</v>
      </c>
      <c r="V289" s="5"/>
      <c r="W289" s="40">
        <v>1</v>
      </c>
      <c r="X289" s="55" t="s">
        <v>581</v>
      </c>
      <c r="Y289" s="42"/>
      <c r="Z289" s="34">
        <v>1</v>
      </c>
      <c r="AA289" s="31"/>
      <c r="AB289" s="5" t="s">
        <v>2361</v>
      </c>
      <c r="AC289" s="5" t="s">
        <v>76</v>
      </c>
      <c r="AD289" s="5" t="s">
        <v>1733</v>
      </c>
      <c r="AE289" s="169" t="s">
        <v>1734</v>
      </c>
      <c r="AF289" s="5" t="s">
        <v>2362</v>
      </c>
      <c r="AG289" s="5"/>
      <c r="AH289" s="5"/>
      <c r="AI289" s="5"/>
      <c r="AJ289" s="5"/>
      <c r="AK289" s="5"/>
      <c r="AL289" s="5"/>
      <c r="AM289" s="5"/>
      <c r="AN289" s="5" t="s">
        <v>2363</v>
      </c>
      <c r="AO289" s="5" t="s">
        <v>1733</v>
      </c>
      <c r="AP289" s="5" t="s">
        <v>2361</v>
      </c>
      <c r="AQ289" s="5"/>
      <c r="AR289" s="5"/>
      <c r="AS289" s="30"/>
      <c r="AT289" s="37"/>
      <c r="AU289" s="37"/>
      <c r="AV289" s="37"/>
      <c r="AW289" s="37"/>
      <c r="AX289" s="37"/>
      <c r="AY289" s="38"/>
      <c r="AZ289" s="38"/>
      <c r="BA289" s="34">
        <v>20</v>
      </c>
      <c r="BB289" s="46"/>
      <c r="BC289" s="37"/>
      <c r="BD289" s="37"/>
      <c r="BE289" s="5"/>
      <c r="BF289" s="5"/>
      <c r="BG289" s="31" t="s">
        <v>2358</v>
      </c>
      <c r="BH289" s="31"/>
      <c r="BI289" s="31" t="s">
        <v>2358</v>
      </c>
      <c r="BJ289" s="48"/>
      <c r="BK289" s="49"/>
    </row>
    <row x14ac:dyDescent="0.25" r="290" customHeight="1" ht="31.5">
      <c r="A290" s="30">
        <v>40002</v>
      </c>
      <c r="B290" s="5" t="s">
        <v>2364</v>
      </c>
      <c r="C290" s="31" t="s">
        <v>2365</v>
      </c>
      <c r="D290" s="31" t="s">
        <v>2366</v>
      </c>
      <c r="E290" s="5"/>
      <c r="F290" s="5" t="s">
        <v>2367</v>
      </c>
      <c r="G290" s="5" t="s">
        <v>1728</v>
      </c>
      <c r="H290" s="31" t="s">
        <v>386</v>
      </c>
      <c r="I290" s="31"/>
      <c r="J290" s="31"/>
      <c r="K290" s="5"/>
      <c r="L290" s="5"/>
      <c r="M290" s="5" t="s">
        <v>231</v>
      </c>
      <c r="N290" s="5" t="s">
        <v>1730</v>
      </c>
      <c r="O290" s="33"/>
      <c r="P290" s="5"/>
      <c r="Q290" s="5" t="s">
        <v>251</v>
      </c>
      <c r="R290" s="31" t="s">
        <v>755</v>
      </c>
      <c r="S290" s="31"/>
      <c r="T290" s="31"/>
      <c r="U290" s="31" t="s">
        <v>2365</v>
      </c>
      <c r="V290" s="5"/>
      <c r="W290" s="40">
        <v>1</v>
      </c>
      <c r="X290" s="31" t="s">
        <v>581</v>
      </c>
      <c r="Y290" s="42"/>
      <c r="Z290" s="34">
        <v>1</v>
      </c>
      <c r="AA290" s="31"/>
      <c r="AB290" s="5" t="s">
        <v>2368</v>
      </c>
      <c r="AC290" s="5" t="s">
        <v>76</v>
      </c>
      <c r="AD290" s="5" t="s">
        <v>1733</v>
      </c>
      <c r="AE290" s="169" t="s">
        <v>1734</v>
      </c>
      <c r="AF290" s="5" t="s">
        <v>2369</v>
      </c>
      <c r="AG290" s="5"/>
      <c r="AH290" s="5"/>
      <c r="AI290" s="5"/>
      <c r="AJ290" s="5"/>
      <c r="AK290" s="5"/>
      <c r="AL290" s="5"/>
      <c r="AM290" s="5"/>
      <c r="AN290" s="5" t="s">
        <v>2370</v>
      </c>
      <c r="AO290" s="5" t="s">
        <v>1733</v>
      </c>
      <c r="AP290" s="5" t="s">
        <v>2368</v>
      </c>
      <c r="AQ290" s="5"/>
      <c r="AR290" s="5"/>
      <c r="AS290" s="30"/>
      <c r="AT290" s="37"/>
      <c r="AU290" s="37"/>
      <c r="AV290" s="37"/>
      <c r="AW290" s="37"/>
      <c r="AX290" s="37"/>
      <c r="AY290" s="38"/>
      <c r="AZ290" s="38"/>
      <c r="BA290" s="34">
        <v>17</v>
      </c>
      <c r="BB290" s="46"/>
      <c r="BC290" s="37"/>
      <c r="BD290" s="37"/>
      <c r="BE290" s="5"/>
      <c r="BF290" s="5"/>
      <c r="BG290" s="31" t="s">
        <v>2365</v>
      </c>
      <c r="BH290" s="31"/>
      <c r="BI290" s="31" t="s">
        <v>2365</v>
      </c>
      <c r="BJ290" s="48"/>
      <c r="BK290" s="49"/>
    </row>
    <row x14ac:dyDescent="0.25" r="291" customHeight="1" ht="31.5">
      <c r="A291" s="30">
        <v>40020</v>
      </c>
      <c r="B291" s="5" t="s">
        <v>2371</v>
      </c>
      <c r="C291" s="31" t="s">
        <v>2372</v>
      </c>
      <c r="D291" s="31" t="s">
        <v>2372</v>
      </c>
      <c r="E291" s="5"/>
      <c r="F291" s="5" t="s">
        <v>2373</v>
      </c>
      <c r="G291" s="5" t="s">
        <v>1728</v>
      </c>
      <c r="H291" s="31" t="s">
        <v>386</v>
      </c>
      <c r="I291" s="31"/>
      <c r="J291" s="31"/>
      <c r="K291" s="5"/>
      <c r="L291" s="5"/>
      <c r="M291" s="5" t="s">
        <v>231</v>
      </c>
      <c r="N291" s="5" t="s">
        <v>1730</v>
      </c>
      <c r="O291" s="33"/>
      <c r="P291" s="5"/>
      <c r="Q291" s="1"/>
      <c r="R291" s="31"/>
      <c r="S291" s="31"/>
      <c r="T291" s="31"/>
      <c r="U291" s="31" t="s">
        <v>2372</v>
      </c>
      <c r="V291" s="5"/>
      <c r="W291" s="40">
        <v>0</v>
      </c>
      <c r="X291" s="31" t="s">
        <v>386</v>
      </c>
      <c r="Y291" s="42"/>
      <c r="Z291" s="20" t="s">
        <v>386</v>
      </c>
      <c r="AA291" s="31"/>
      <c r="AB291" s="5" t="s">
        <v>2374</v>
      </c>
      <c r="AC291" s="5" t="s">
        <v>76</v>
      </c>
      <c r="AD291" s="5" t="s">
        <v>1733</v>
      </c>
      <c r="AE291" s="169" t="s">
        <v>1734</v>
      </c>
      <c r="AF291" s="5" t="s">
        <v>2375</v>
      </c>
      <c r="AG291" s="5"/>
      <c r="AH291" s="5"/>
      <c r="AI291" s="5"/>
      <c r="AJ291" s="5"/>
      <c r="AK291" s="5"/>
      <c r="AL291" s="5"/>
      <c r="AM291" s="5"/>
      <c r="AN291" s="5" t="s">
        <v>2376</v>
      </c>
      <c r="AO291" s="5" t="s">
        <v>1733</v>
      </c>
      <c r="AP291" s="5" t="s">
        <v>2377</v>
      </c>
      <c r="AQ291" s="5"/>
      <c r="AR291" s="5"/>
      <c r="AS291" s="30"/>
      <c r="AT291" s="37"/>
      <c r="AU291" s="37"/>
      <c r="AV291" s="37"/>
      <c r="AW291" s="37"/>
      <c r="AX291" s="37"/>
      <c r="AY291" s="38"/>
      <c r="AZ291" s="38"/>
      <c r="BA291" s="34">
        <v>19</v>
      </c>
      <c r="BB291" s="46"/>
      <c r="BC291" s="37"/>
      <c r="BD291" s="37"/>
      <c r="BE291" s="5"/>
      <c r="BF291" s="5"/>
      <c r="BG291" s="31"/>
      <c r="BH291" s="31"/>
      <c r="BI291" s="31"/>
      <c r="BJ291" s="48"/>
      <c r="BK291" s="49"/>
    </row>
    <row x14ac:dyDescent="0.25" r="292" customHeight="1" ht="31.5">
      <c r="A292" s="30">
        <v>40005</v>
      </c>
      <c r="B292" s="5" t="s">
        <v>2378</v>
      </c>
      <c r="C292" s="31" t="s">
        <v>2379</v>
      </c>
      <c r="D292" s="31" t="s">
        <v>2380</v>
      </c>
      <c r="E292" s="5"/>
      <c r="F292" s="5" t="s">
        <v>577</v>
      </c>
      <c r="G292" s="5" t="s">
        <v>1728</v>
      </c>
      <c r="H292" s="31" t="s">
        <v>386</v>
      </c>
      <c r="I292" s="31"/>
      <c r="J292" s="31"/>
      <c r="K292" s="5"/>
      <c r="L292" s="5"/>
      <c r="M292" s="5" t="s">
        <v>231</v>
      </c>
      <c r="N292" s="5" t="s">
        <v>1730</v>
      </c>
      <c r="O292" s="33"/>
      <c r="P292" s="5"/>
      <c r="Q292" s="5" t="s">
        <v>251</v>
      </c>
      <c r="R292" s="31" t="s">
        <v>755</v>
      </c>
      <c r="S292" s="31"/>
      <c r="T292" s="31"/>
      <c r="U292" s="31" t="s">
        <v>2379</v>
      </c>
      <c r="V292" s="5"/>
      <c r="W292" s="40">
        <v>1</v>
      </c>
      <c r="X292" s="55" t="s">
        <v>235</v>
      </c>
      <c r="Y292" s="42" t="s">
        <v>1121</v>
      </c>
      <c r="Z292" s="34">
        <v>0</v>
      </c>
      <c r="AA292" s="31"/>
      <c r="AB292" s="5" t="s">
        <v>2381</v>
      </c>
      <c r="AC292" s="5" t="s">
        <v>38</v>
      </c>
      <c r="AD292" s="5" t="s">
        <v>1733</v>
      </c>
      <c r="AE292" s="169" t="s">
        <v>2382</v>
      </c>
      <c r="AF292" s="5" t="s">
        <v>292</v>
      </c>
      <c r="AG292" s="5" t="s">
        <v>32</v>
      </c>
      <c r="AH292" s="31" t="s">
        <v>41</v>
      </c>
      <c r="AI292" s="5"/>
      <c r="AJ292" s="5"/>
      <c r="AK292" s="5"/>
      <c r="AL292" s="5"/>
      <c r="AM292" s="5"/>
      <c r="AN292" s="5"/>
      <c r="AO292" s="5"/>
      <c r="AP292" s="5"/>
      <c r="AQ292" s="5"/>
      <c r="AR292" s="5"/>
      <c r="AS292" s="30"/>
      <c r="AT292" s="37"/>
      <c r="AU292" s="37"/>
      <c r="AV292" s="37"/>
      <c r="AW292" s="37"/>
      <c r="AX292" s="37"/>
      <c r="AY292" s="38"/>
      <c r="AZ292" s="38"/>
      <c r="BA292" s="34">
        <v>23</v>
      </c>
      <c r="BB292" s="46"/>
      <c r="BC292" s="37"/>
      <c r="BD292" s="37"/>
      <c r="BE292" s="5"/>
      <c r="BF292" s="5"/>
      <c r="BG292" s="31" t="s">
        <v>2383</v>
      </c>
      <c r="BH292" s="31"/>
      <c r="BI292" s="31" t="s">
        <v>2383</v>
      </c>
      <c r="BJ292" s="48"/>
      <c r="BK292" s="49"/>
    </row>
    <row x14ac:dyDescent="0.25" r="293" customHeight="1" ht="31.5">
      <c r="A293" s="30">
        <v>40004</v>
      </c>
      <c r="B293" s="5" t="s">
        <v>2384</v>
      </c>
      <c r="C293" s="31" t="s">
        <v>2385</v>
      </c>
      <c r="D293" s="31" t="s">
        <v>2386</v>
      </c>
      <c r="E293" s="5"/>
      <c r="F293" s="5" t="s">
        <v>577</v>
      </c>
      <c r="G293" s="5" t="s">
        <v>1728</v>
      </c>
      <c r="H293" s="31" t="s">
        <v>386</v>
      </c>
      <c r="I293" s="31"/>
      <c r="J293" s="31"/>
      <c r="K293" s="5"/>
      <c r="L293" s="5"/>
      <c r="M293" s="5" t="s">
        <v>231</v>
      </c>
      <c r="N293" s="5" t="s">
        <v>1730</v>
      </c>
      <c r="O293" s="33"/>
      <c r="P293" s="5"/>
      <c r="Q293" s="5" t="s">
        <v>251</v>
      </c>
      <c r="R293" s="31" t="s">
        <v>755</v>
      </c>
      <c r="S293" s="31"/>
      <c r="T293" s="31"/>
      <c r="U293" s="31" t="s">
        <v>2385</v>
      </c>
      <c r="V293" s="5"/>
      <c r="W293" s="40">
        <v>1</v>
      </c>
      <c r="X293" s="55" t="s">
        <v>235</v>
      </c>
      <c r="Y293" s="42" t="s">
        <v>758</v>
      </c>
      <c r="Z293" s="34">
        <v>0</v>
      </c>
      <c r="AA293" s="31"/>
      <c r="AB293" s="5" t="s">
        <v>2387</v>
      </c>
      <c r="AC293" s="5" t="s">
        <v>38</v>
      </c>
      <c r="AD293" s="5" t="s">
        <v>1733</v>
      </c>
      <c r="AE293" s="169" t="s">
        <v>2382</v>
      </c>
      <c r="AF293" s="5" t="s">
        <v>292</v>
      </c>
      <c r="AG293" s="5" t="s">
        <v>18</v>
      </c>
      <c r="AH293" s="31" t="s">
        <v>27</v>
      </c>
      <c r="AI293" s="5"/>
      <c r="AJ293" s="5"/>
      <c r="AK293" s="5"/>
      <c r="AL293" s="5"/>
      <c r="AM293" s="5"/>
      <c r="AN293" s="5"/>
      <c r="AO293" s="5"/>
      <c r="AP293" s="5"/>
      <c r="AQ293" s="5"/>
      <c r="AR293" s="5"/>
      <c r="AS293" s="30"/>
      <c r="AT293" s="37"/>
      <c r="AU293" s="37"/>
      <c r="AV293" s="37"/>
      <c r="AW293" s="37"/>
      <c r="AX293" s="37"/>
      <c r="AY293" s="38"/>
      <c r="AZ293" s="38"/>
      <c r="BA293" s="34">
        <v>22</v>
      </c>
      <c r="BB293" s="46"/>
      <c r="BC293" s="37"/>
      <c r="BD293" s="37"/>
      <c r="BE293" s="5"/>
      <c r="BF293" s="5"/>
      <c r="BG293" s="31" t="s">
        <v>2388</v>
      </c>
      <c r="BH293" s="31"/>
      <c r="BI293" s="31" t="s">
        <v>2388</v>
      </c>
      <c r="BJ293" s="48"/>
      <c r="BK293" s="49"/>
    </row>
    <row x14ac:dyDescent="0.25" r="294" customHeight="1" ht="31.5">
      <c r="A294" s="30">
        <v>40012</v>
      </c>
      <c r="B294" s="5" t="s">
        <v>2389</v>
      </c>
      <c r="C294" s="31" t="s">
        <v>2390</v>
      </c>
      <c r="D294" s="31" t="s">
        <v>2391</v>
      </c>
      <c r="E294" s="5"/>
      <c r="F294" s="5" t="s">
        <v>226</v>
      </c>
      <c r="G294" s="5" t="s">
        <v>1728</v>
      </c>
      <c r="H294" s="31" t="s">
        <v>386</v>
      </c>
      <c r="I294" s="31"/>
      <c r="J294" s="31"/>
      <c r="K294" s="5"/>
      <c r="L294" s="5"/>
      <c r="M294" s="5" t="s">
        <v>231</v>
      </c>
      <c r="N294" s="5" t="s">
        <v>1730</v>
      </c>
      <c r="O294" s="33"/>
      <c r="P294" s="5"/>
      <c r="Q294" s="5" t="s">
        <v>251</v>
      </c>
      <c r="R294" s="31" t="s">
        <v>755</v>
      </c>
      <c r="S294" s="31"/>
      <c r="T294" s="31"/>
      <c r="U294" s="31" t="s">
        <v>2390</v>
      </c>
      <c r="V294" s="5"/>
      <c r="W294" s="40">
        <v>1</v>
      </c>
      <c r="X294" s="55" t="s">
        <v>235</v>
      </c>
      <c r="Y294" s="42" t="s">
        <v>256</v>
      </c>
      <c r="Z294" s="34">
        <v>0</v>
      </c>
      <c r="AA294" s="31"/>
      <c r="AB294" s="5" t="s">
        <v>2392</v>
      </c>
      <c r="AC294" s="5" t="s">
        <v>52</v>
      </c>
      <c r="AD294" s="5" t="s">
        <v>1733</v>
      </c>
      <c r="AE294" s="169" t="s">
        <v>2393</v>
      </c>
      <c r="AF294" s="5" t="s">
        <v>2394</v>
      </c>
      <c r="AG294" s="5"/>
      <c r="AH294" s="5"/>
      <c r="AI294" s="5"/>
      <c r="AJ294" s="5"/>
      <c r="AK294" s="5"/>
      <c r="AL294" s="5"/>
      <c r="AM294" s="5"/>
      <c r="AN294" s="5"/>
      <c r="AO294" s="5"/>
      <c r="AP294" s="5"/>
      <c r="AQ294" s="5"/>
      <c r="AR294" s="5"/>
      <c r="AS294" s="30"/>
      <c r="AT294" s="37"/>
      <c r="AU294" s="37"/>
      <c r="AV294" s="37"/>
      <c r="AW294" s="37"/>
      <c r="AX294" s="37"/>
      <c r="AY294" s="38"/>
      <c r="AZ294" s="38"/>
      <c r="BA294" s="34">
        <v>28</v>
      </c>
      <c r="BB294" s="46"/>
      <c r="BC294" s="37"/>
      <c r="BD294" s="37"/>
      <c r="BE294" s="5"/>
      <c r="BF294" s="5"/>
      <c r="BG294" s="47" t="s">
        <v>2395</v>
      </c>
      <c r="BH294" s="47"/>
      <c r="BI294" s="47" t="s">
        <v>2395</v>
      </c>
      <c r="BJ294" s="60"/>
      <c r="BK294" s="49"/>
    </row>
    <row x14ac:dyDescent="0.25" r="295" customHeight="1" ht="31.5">
      <c r="A295" s="30">
        <v>40006</v>
      </c>
      <c r="B295" s="5" t="s">
        <v>2396</v>
      </c>
      <c r="C295" s="31" t="s">
        <v>2397</v>
      </c>
      <c r="D295" s="31" t="s">
        <v>2398</v>
      </c>
      <c r="E295" s="5"/>
      <c r="F295" s="5" t="s">
        <v>577</v>
      </c>
      <c r="G295" s="5" t="s">
        <v>1728</v>
      </c>
      <c r="H295" s="31" t="s">
        <v>386</v>
      </c>
      <c r="I295" s="31"/>
      <c r="J295" s="31"/>
      <c r="K295" s="5"/>
      <c r="L295" s="5"/>
      <c r="M295" s="5" t="s">
        <v>231</v>
      </c>
      <c r="N295" s="5" t="s">
        <v>1730</v>
      </c>
      <c r="O295" s="33"/>
      <c r="P295" s="5"/>
      <c r="Q295" s="5" t="s">
        <v>251</v>
      </c>
      <c r="R295" s="31" t="s">
        <v>755</v>
      </c>
      <c r="S295" s="31"/>
      <c r="T295" s="31"/>
      <c r="U295" s="31" t="s">
        <v>2397</v>
      </c>
      <c r="V295" s="5"/>
      <c r="W295" s="40">
        <v>1</v>
      </c>
      <c r="X295" s="55" t="s">
        <v>235</v>
      </c>
      <c r="Y295" s="42" t="s">
        <v>979</v>
      </c>
      <c r="Z295" s="34">
        <v>0</v>
      </c>
      <c r="AA295" s="31"/>
      <c r="AB295" s="5" t="s">
        <v>2399</v>
      </c>
      <c r="AC295" s="5" t="s">
        <v>38</v>
      </c>
      <c r="AD295" s="5" t="s">
        <v>1733</v>
      </c>
      <c r="AE295" s="169" t="s">
        <v>2382</v>
      </c>
      <c r="AF295" s="5" t="s">
        <v>292</v>
      </c>
      <c r="AG295" s="5" t="s">
        <v>46</v>
      </c>
      <c r="AH295" s="31" t="s">
        <v>27</v>
      </c>
      <c r="AI295" s="5"/>
      <c r="AJ295" s="5"/>
      <c r="AK295" s="5"/>
      <c r="AL295" s="5"/>
      <c r="AM295" s="5"/>
      <c r="AN295" s="5"/>
      <c r="AO295" s="5"/>
      <c r="AP295" s="5"/>
      <c r="AQ295" s="5"/>
      <c r="AR295" s="5"/>
      <c r="AS295" s="30"/>
      <c r="AT295" s="37"/>
      <c r="AU295" s="37"/>
      <c r="AV295" s="37"/>
      <c r="AW295" s="37"/>
      <c r="AX295" s="37"/>
      <c r="AY295" s="38"/>
      <c r="AZ295" s="38"/>
      <c r="BA295" s="34">
        <v>24</v>
      </c>
      <c r="BB295" s="46"/>
      <c r="BC295" s="37"/>
      <c r="BD295" s="37"/>
      <c r="BE295" s="5"/>
      <c r="BF295" s="5"/>
      <c r="BG295" s="31" t="s">
        <v>2400</v>
      </c>
      <c r="BH295" s="31"/>
      <c r="BI295" s="31" t="s">
        <v>2400</v>
      </c>
      <c r="BJ295" s="48"/>
      <c r="BK295" s="49"/>
    </row>
    <row x14ac:dyDescent="0.25" r="296" customHeight="1" ht="31.5">
      <c r="A296" s="30">
        <v>40013</v>
      </c>
      <c r="B296" s="5" t="s">
        <v>2401</v>
      </c>
      <c r="C296" s="31" t="s">
        <v>2402</v>
      </c>
      <c r="D296" s="31" t="s">
        <v>2403</v>
      </c>
      <c r="E296" s="5"/>
      <c r="F296" s="5" t="s">
        <v>226</v>
      </c>
      <c r="G296" s="5" t="s">
        <v>1728</v>
      </c>
      <c r="H296" s="31" t="s">
        <v>386</v>
      </c>
      <c r="I296" s="31"/>
      <c r="J296" s="31"/>
      <c r="K296" s="5"/>
      <c r="L296" s="5"/>
      <c r="M296" s="5" t="s">
        <v>231</v>
      </c>
      <c r="N296" s="5" t="s">
        <v>1730</v>
      </c>
      <c r="O296" s="33"/>
      <c r="P296" s="5"/>
      <c r="Q296" s="5" t="s">
        <v>251</v>
      </c>
      <c r="R296" s="31" t="s">
        <v>755</v>
      </c>
      <c r="S296" s="31"/>
      <c r="T296" s="31"/>
      <c r="U296" s="31" t="s">
        <v>2402</v>
      </c>
      <c r="V296" s="5"/>
      <c r="W296" s="40">
        <v>1</v>
      </c>
      <c r="X296" s="55" t="s">
        <v>235</v>
      </c>
      <c r="Y296" s="42" t="s">
        <v>256</v>
      </c>
      <c r="Z296" s="34">
        <v>0</v>
      </c>
      <c r="AA296" s="31"/>
      <c r="AB296" s="5" t="s">
        <v>2404</v>
      </c>
      <c r="AC296" s="5" t="s">
        <v>52</v>
      </c>
      <c r="AD296" s="5" t="s">
        <v>1733</v>
      </c>
      <c r="AE296" s="169" t="s">
        <v>2393</v>
      </c>
      <c r="AF296" s="5" t="s">
        <v>2405</v>
      </c>
      <c r="AG296" s="5"/>
      <c r="AH296" s="5"/>
      <c r="AI296" s="5"/>
      <c r="AJ296" s="5"/>
      <c r="AK296" s="5"/>
      <c r="AL296" s="5"/>
      <c r="AM296" s="5"/>
      <c r="AN296" s="5"/>
      <c r="AO296" s="5"/>
      <c r="AP296" s="5"/>
      <c r="AQ296" s="5"/>
      <c r="AR296" s="5"/>
      <c r="AS296" s="30"/>
      <c r="AT296" s="37"/>
      <c r="AU296" s="37"/>
      <c r="AV296" s="37"/>
      <c r="AW296" s="37"/>
      <c r="AX296" s="37"/>
      <c r="AY296" s="38"/>
      <c r="AZ296" s="38"/>
      <c r="BA296" s="34">
        <v>29</v>
      </c>
      <c r="BB296" s="46"/>
      <c r="BC296" s="37"/>
      <c r="BD296" s="37"/>
      <c r="BE296" s="5"/>
      <c r="BF296" s="5"/>
      <c r="BG296" s="47" t="s">
        <v>2406</v>
      </c>
      <c r="BH296" s="47"/>
      <c r="BI296" s="47" t="s">
        <v>2406</v>
      </c>
      <c r="BJ296" s="60"/>
      <c r="BK296" s="49"/>
    </row>
    <row x14ac:dyDescent="0.25" r="297" customHeight="1" ht="31.5">
      <c r="A297" s="30" t="s">
        <v>1020</v>
      </c>
      <c r="B297" s="5" t="s">
        <v>386</v>
      </c>
      <c r="C297" s="31" t="s">
        <v>2407</v>
      </c>
      <c r="D297" s="31" t="s">
        <v>2408</v>
      </c>
      <c r="E297" s="5"/>
      <c r="F297" s="5" t="s">
        <v>226</v>
      </c>
      <c r="G297" s="5" t="s">
        <v>1728</v>
      </c>
      <c r="H297" s="31"/>
      <c r="I297" s="32"/>
      <c r="J297" s="32"/>
      <c r="K297" s="5"/>
      <c r="L297" s="5"/>
      <c r="M297" s="5" t="s">
        <v>231</v>
      </c>
      <c r="N297" s="5"/>
      <c r="O297" s="33"/>
      <c r="P297" s="5"/>
      <c r="Q297" s="1"/>
      <c r="R297" s="31" t="s">
        <v>2409</v>
      </c>
      <c r="S297" s="31" t="s">
        <v>2410</v>
      </c>
      <c r="T297" s="31"/>
      <c r="U297" s="31" t="s">
        <v>2407</v>
      </c>
      <c r="V297" s="5"/>
      <c r="W297" s="40">
        <v>1</v>
      </c>
      <c r="X297" s="55" t="s">
        <v>235</v>
      </c>
      <c r="Y297" s="42"/>
      <c r="Z297" s="35">
        <v>0</v>
      </c>
      <c r="AA297" s="31"/>
      <c r="AB297" s="31" t="s">
        <v>2411</v>
      </c>
      <c r="AC297" s="5" t="s">
        <v>52</v>
      </c>
      <c r="AD297" s="31" t="s">
        <v>1733</v>
      </c>
      <c r="AE297" s="36" t="s">
        <v>2393</v>
      </c>
      <c r="AF297" s="31" t="s">
        <v>2411</v>
      </c>
      <c r="AG297" s="31"/>
      <c r="AH297" s="31"/>
      <c r="AI297" s="31"/>
      <c r="AJ297" s="31"/>
      <c r="AK297" s="31"/>
      <c r="AL297" s="31"/>
      <c r="AM297" s="31"/>
      <c r="AN297" s="31"/>
      <c r="AO297" s="31"/>
      <c r="AP297" s="31"/>
      <c r="AQ297" s="31"/>
      <c r="AR297" s="31"/>
      <c r="AS297" s="30"/>
      <c r="AT297" s="37"/>
      <c r="AU297" s="37"/>
      <c r="AV297" s="37"/>
      <c r="AW297" s="37"/>
      <c r="AX297" s="37"/>
      <c r="AY297" s="38"/>
      <c r="AZ297" s="38"/>
      <c r="BA297" s="38"/>
      <c r="BB297" s="46"/>
      <c r="BC297" s="37"/>
      <c r="BD297" s="37"/>
      <c r="BE297" s="5"/>
      <c r="BF297" s="5"/>
      <c r="BG297" s="31" t="s">
        <v>2407</v>
      </c>
      <c r="BH297" s="31"/>
      <c r="BI297" s="31" t="s">
        <v>2407</v>
      </c>
      <c r="BJ297" s="48"/>
      <c r="BK297" s="49"/>
    </row>
    <row x14ac:dyDescent="0.25" r="298" customHeight="1" ht="31.5">
      <c r="A298" s="30">
        <v>40007</v>
      </c>
      <c r="B298" s="5" t="s">
        <v>2412</v>
      </c>
      <c r="C298" s="31" t="s">
        <v>2413</v>
      </c>
      <c r="D298" s="31" t="s">
        <v>2414</v>
      </c>
      <c r="E298" s="5"/>
      <c r="F298" s="5" t="s">
        <v>577</v>
      </c>
      <c r="G298" s="5" t="s">
        <v>1728</v>
      </c>
      <c r="H298" s="31" t="s">
        <v>386</v>
      </c>
      <c r="I298" s="31"/>
      <c r="J298" s="31"/>
      <c r="K298" s="5"/>
      <c r="L298" s="5"/>
      <c r="M298" s="5" t="s">
        <v>231</v>
      </c>
      <c r="N298" s="5" t="s">
        <v>1730</v>
      </c>
      <c r="O298" s="33"/>
      <c r="P298" s="5"/>
      <c r="Q298" s="5" t="s">
        <v>251</v>
      </c>
      <c r="R298" s="31" t="s">
        <v>755</v>
      </c>
      <c r="S298" s="31"/>
      <c r="T298" s="31"/>
      <c r="U298" s="31" t="s">
        <v>2415</v>
      </c>
      <c r="V298" s="5"/>
      <c r="W298" s="40">
        <v>1</v>
      </c>
      <c r="X298" s="55" t="s">
        <v>235</v>
      </c>
      <c r="Y298" s="42" t="s">
        <v>979</v>
      </c>
      <c r="Z298" s="34">
        <v>0</v>
      </c>
      <c r="AA298" s="31"/>
      <c r="AB298" s="5" t="s">
        <v>2416</v>
      </c>
      <c r="AC298" s="5" t="s">
        <v>38</v>
      </c>
      <c r="AD298" s="5" t="s">
        <v>1733</v>
      </c>
      <c r="AE298" s="169" t="s">
        <v>2382</v>
      </c>
      <c r="AF298" s="5" t="s">
        <v>292</v>
      </c>
      <c r="AG298" s="5" t="s">
        <v>58</v>
      </c>
      <c r="AH298" s="31" t="s">
        <v>27</v>
      </c>
      <c r="AI298" s="5"/>
      <c r="AJ298" s="5"/>
      <c r="AK298" s="5"/>
      <c r="AL298" s="5"/>
      <c r="AM298" s="5"/>
      <c r="AN298" s="5" t="s">
        <v>830</v>
      </c>
      <c r="AO298" s="5" t="s">
        <v>259</v>
      </c>
      <c r="AP298" s="5" t="s">
        <v>831</v>
      </c>
      <c r="AQ298" s="5"/>
      <c r="AR298" s="5"/>
      <c r="AS298" s="30"/>
      <c r="AT298" s="37"/>
      <c r="AU298" s="37"/>
      <c r="AV298" s="37"/>
      <c r="AW298" s="37"/>
      <c r="AX298" s="37"/>
      <c r="AY298" s="38"/>
      <c r="AZ298" s="38"/>
      <c r="BA298" s="34">
        <v>25</v>
      </c>
      <c r="BB298" s="46"/>
      <c r="BC298" s="37"/>
      <c r="BD298" s="37"/>
      <c r="BE298" s="5"/>
      <c r="BF298" s="5"/>
      <c r="BG298" s="31" t="s">
        <v>2417</v>
      </c>
      <c r="BH298" s="31"/>
      <c r="BI298" s="31" t="s">
        <v>2417</v>
      </c>
      <c r="BJ298" s="48"/>
      <c r="BK298" s="49"/>
    </row>
    <row x14ac:dyDescent="0.25" r="299" customHeight="1" ht="31.5">
      <c r="A299" s="30">
        <v>40008</v>
      </c>
      <c r="B299" s="5" t="s">
        <v>2418</v>
      </c>
      <c r="C299" s="31" t="s">
        <v>2419</v>
      </c>
      <c r="D299" s="31" t="s">
        <v>2414</v>
      </c>
      <c r="E299" s="5"/>
      <c r="F299" s="5" t="s">
        <v>577</v>
      </c>
      <c r="G299" s="5" t="s">
        <v>1728</v>
      </c>
      <c r="H299" s="31" t="s">
        <v>386</v>
      </c>
      <c r="I299" s="31"/>
      <c r="J299" s="31"/>
      <c r="K299" s="5"/>
      <c r="L299" s="5"/>
      <c r="M299" s="5" t="s">
        <v>231</v>
      </c>
      <c r="N299" s="5" t="s">
        <v>1730</v>
      </c>
      <c r="O299" s="33"/>
      <c r="P299" s="5"/>
      <c r="Q299" s="5" t="s">
        <v>251</v>
      </c>
      <c r="R299" s="31" t="s">
        <v>755</v>
      </c>
      <c r="S299" s="31"/>
      <c r="T299" s="31"/>
      <c r="U299" s="31" t="s">
        <v>2420</v>
      </c>
      <c r="V299" s="5"/>
      <c r="W299" s="40">
        <v>1</v>
      </c>
      <c r="X299" s="55" t="s">
        <v>235</v>
      </c>
      <c r="Y299" s="42" t="s">
        <v>979</v>
      </c>
      <c r="Z299" s="34">
        <v>0</v>
      </c>
      <c r="AA299" s="31"/>
      <c r="AB299" s="5" t="s">
        <v>2421</v>
      </c>
      <c r="AC299" s="5" t="s">
        <v>38</v>
      </c>
      <c r="AD299" s="5" t="s">
        <v>1733</v>
      </c>
      <c r="AE299" s="169" t="s">
        <v>2382</v>
      </c>
      <c r="AF299" s="5" t="s">
        <v>292</v>
      </c>
      <c r="AG299" s="5" t="s">
        <v>70</v>
      </c>
      <c r="AH299" s="31" t="s">
        <v>27</v>
      </c>
      <c r="AI299" s="5"/>
      <c r="AJ299" s="5"/>
      <c r="AK299" s="5"/>
      <c r="AL299" s="5"/>
      <c r="AM299" s="5"/>
      <c r="AN299" s="5" t="s">
        <v>830</v>
      </c>
      <c r="AO299" s="5" t="s">
        <v>259</v>
      </c>
      <c r="AP299" s="5" t="s">
        <v>831</v>
      </c>
      <c r="AQ299" s="5"/>
      <c r="AR299" s="5"/>
      <c r="AS299" s="30"/>
      <c r="AT299" s="37"/>
      <c r="AU299" s="37"/>
      <c r="AV299" s="37"/>
      <c r="AW299" s="37"/>
      <c r="AX299" s="37"/>
      <c r="AY299" s="38"/>
      <c r="AZ299" s="38"/>
      <c r="BA299" s="34">
        <v>26</v>
      </c>
      <c r="BB299" s="46"/>
      <c r="BC299" s="37"/>
      <c r="BD299" s="37"/>
      <c r="BE299" s="5"/>
      <c r="BF299" s="5"/>
      <c r="BG299" s="31" t="s">
        <v>2422</v>
      </c>
      <c r="BH299" s="31"/>
      <c r="BI299" s="31" t="s">
        <v>2422</v>
      </c>
      <c r="BJ299" s="48"/>
      <c r="BK299" s="49"/>
    </row>
    <row x14ac:dyDescent="0.25" r="300" customHeight="1" ht="47.25">
      <c r="A300" s="30">
        <v>40011</v>
      </c>
      <c r="B300" s="5" t="s">
        <v>2423</v>
      </c>
      <c r="C300" s="31" t="s">
        <v>2424</v>
      </c>
      <c r="D300" s="31" t="s">
        <v>2425</v>
      </c>
      <c r="E300" s="5"/>
      <c r="F300" s="5" t="s">
        <v>577</v>
      </c>
      <c r="G300" s="5" t="s">
        <v>1728</v>
      </c>
      <c r="H300" s="31" t="s">
        <v>386</v>
      </c>
      <c r="I300" s="31"/>
      <c r="J300" s="31"/>
      <c r="K300" s="5"/>
      <c r="L300" s="5"/>
      <c r="M300" s="5" t="s">
        <v>231</v>
      </c>
      <c r="N300" s="5" t="s">
        <v>1730</v>
      </c>
      <c r="O300" s="33"/>
      <c r="P300" s="5"/>
      <c r="Q300" s="5" t="s">
        <v>251</v>
      </c>
      <c r="R300" s="31" t="s">
        <v>755</v>
      </c>
      <c r="S300" s="31"/>
      <c r="T300" s="31"/>
      <c r="U300" s="31" t="s">
        <v>2424</v>
      </c>
      <c r="V300" s="5"/>
      <c r="W300" s="40">
        <v>1</v>
      </c>
      <c r="X300" s="55" t="s">
        <v>235</v>
      </c>
      <c r="Y300" s="42" t="s">
        <v>1913</v>
      </c>
      <c r="Z300" s="34">
        <v>0</v>
      </c>
      <c r="AA300" s="31"/>
      <c r="AB300" s="5" t="s">
        <v>2426</v>
      </c>
      <c r="AC300" s="5" t="s">
        <v>38</v>
      </c>
      <c r="AD300" s="5" t="s">
        <v>1733</v>
      </c>
      <c r="AE300" s="169" t="s">
        <v>2382</v>
      </c>
      <c r="AF300" s="5" t="s">
        <v>292</v>
      </c>
      <c r="AG300" s="5" t="s">
        <v>82</v>
      </c>
      <c r="AH300" s="31" t="s">
        <v>55</v>
      </c>
      <c r="AI300" s="5"/>
      <c r="AJ300" s="5"/>
      <c r="AK300" s="5"/>
      <c r="AL300" s="5"/>
      <c r="AM300" s="5"/>
      <c r="AN300" s="5"/>
      <c r="AO300" s="5"/>
      <c r="AP300" s="5"/>
      <c r="AQ300" s="5"/>
      <c r="AR300" s="5"/>
      <c r="AS300" s="30"/>
      <c r="AT300" s="37"/>
      <c r="AU300" s="37"/>
      <c r="AV300" s="37"/>
      <c r="AW300" s="37"/>
      <c r="AX300" s="37"/>
      <c r="AY300" s="38"/>
      <c r="AZ300" s="38"/>
      <c r="BA300" s="34">
        <v>27</v>
      </c>
      <c r="BB300" s="46"/>
      <c r="BC300" s="37"/>
      <c r="BD300" s="37"/>
      <c r="BE300" s="5"/>
      <c r="BF300" s="5"/>
      <c r="BG300" s="31" t="s">
        <v>2427</v>
      </c>
      <c r="BH300" s="31"/>
      <c r="BI300" s="31" t="s">
        <v>2427</v>
      </c>
      <c r="BJ300" s="48"/>
      <c r="BK300" s="49"/>
    </row>
    <row x14ac:dyDescent="0.25" r="301" customHeight="1" ht="31.5">
      <c r="A301" s="30" t="s">
        <v>1020</v>
      </c>
      <c r="B301" s="5" t="s">
        <v>386</v>
      </c>
      <c r="C301" s="31" t="s">
        <v>2428</v>
      </c>
      <c r="D301" s="31" t="s">
        <v>2429</v>
      </c>
      <c r="E301" s="5"/>
      <c r="F301" s="5" t="s">
        <v>226</v>
      </c>
      <c r="G301" s="5" t="s">
        <v>1728</v>
      </c>
      <c r="H301" s="31"/>
      <c r="I301" s="32"/>
      <c r="J301" s="32"/>
      <c r="K301" s="5"/>
      <c r="L301" s="5"/>
      <c r="M301" s="5"/>
      <c r="N301" s="5"/>
      <c r="O301" s="33"/>
      <c r="P301" s="5"/>
      <c r="Q301" s="1"/>
      <c r="R301" s="31" t="s">
        <v>2409</v>
      </c>
      <c r="S301" s="31"/>
      <c r="T301" s="31"/>
      <c r="U301" s="5" t="s">
        <v>2430</v>
      </c>
      <c r="V301" s="5"/>
      <c r="W301" s="40">
        <v>1</v>
      </c>
      <c r="X301" s="55" t="s">
        <v>235</v>
      </c>
      <c r="Y301" s="42"/>
      <c r="Z301" s="35">
        <v>0</v>
      </c>
      <c r="AA301" s="31"/>
      <c r="AB301" s="31" t="s">
        <v>2431</v>
      </c>
      <c r="AC301" s="5" t="s">
        <v>52</v>
      </c>
      <c r="AD301" s="31" t="s">
        <v>1733</v>
      </c>
      <c r="AE301" s="231" t="s">
        <v>2393</v>
      </c>
      <c r="AF301" s="31" t="s">
        <v>2431</v>
      </c>
      <c r="AG301" s="31"/>
      <c r="AH301" s="31"/>
      <c r="AI301" s="31"/>
      <c r="AJ301" s="31"/>
      <c r="AK301" s="31"/>
      <c r="AL301" s="31"/>
      <c r="AM301" s="31"/>
      <c r="AN301" s="31"/>
      <c r="AO301" s="31"/>
      <c r="AP301" s="31"/>
      <c r="AQ301" s="31"/>
      <c r="AR301" s="31"/>
      <c r="AS301" s="30"/>
      <c r="AT301" s="37"/>
      <c r="AU301" s="37"/>
      <c r="AV301" s="37"/>
      <c r="AW301" s="37"/>
      <c r="AX301" s="37"/>
      <c r="AY301" s="38"/>
      <c r="AZ301" s="38"/>
      <c r="BA301" s="38"/>
      <c r="BB301" s="46"/>
      <c r="BC301" s="37"/>
      <c r="BD301" s="37"/>
      <c r="BE301" s="5"/>
      <c r="BF301" s="5"/>
      <c r="BG301" s="5" t="s">
        <v>2430</v>
      </c>
      <c r="BH301" s="5"/>
      <c r="BI301" s="5" t="s">
        <v>2430</v>
      </c>
      <c r="BJ301" s="57"/>
      <c r="BK301" s="229"/>
    </row>
    <row x14ac:dyDescent="0.25" r="302" customHeight="1" ht="31.5">
      <c r="A302" s="30" t="s">
        <v>2432</v>
      </c>
      <c r="B302" s="5" t="s">
        <v>2433</v>
      </c>
      <c r="C302" s="31" t="s">
        <v>2434</v>
      </c>
      <c r="D302" s="31" t="s">
        <v>2435</v>
      </c>
      <c r="E302" s="5"/>
      <c r="F302" s="5" t="s">
        <v>637</v>
      </c>
      <c r="G302" s="5" t="s">
        <v>1728</v>
      </c>
      <c r="H302" s="31" t="s">
        <v>386</v>
      </c>
      <c r="I302" s="31"/>
      <c r="J302" s="31"/>
      <c r="K302" s="5"/>
      <c r="L302" s="5"/>
      <c r="M302" s="5" t="s">
        <v>231</v>
      </c>
      <c r="N302" s="5" t="s">
        <v>1730</v>
      </c>
      <c r="O302" s="33"/>
      <c r="P302" s="5"/>
      <c r="Q302" s="5" t="s">
        <v>251</v>
      </c>
      <c r="R302" s="31" t="s">
        <v>755</v>
      </c>
      <c r="S302" s="31"/>
      <c r="T302" s="31"/>
      <c r="U302" s="31" t="s">
        <v>2434</v>
      </c>
      <c r="V302" s="5"/>
      <c r="W302" s="40">
        <v>0</v>
      </c>
      <c r="X302" s="31" t="s">
        <v>386</v>
      </c>
      <c r="Y302" s="42"/>
      <c r="Z302" s="38" t="s">
        <v>386</v>
      </c>
      <c r="AA302" s="31"/>
      <c r="AB302" s="31" t="s">
        <v>2436</v>
      </c>
      <c r="AC302" s="5" t="s">
        <v>24</v>
      </c>
      <c r="AD302" s="5" t="s">
        <v>1733</v>
      </c>
      <c r="AE302" s="169" t="s">
        <v>2319</v>
      </c>
      <c r="AF302" s="5" t="s">
        <v>672</v>
      </c>
      <c r="AG302" s="5" t="s">
        <v>14</v>
      </c>
      <c r="AH302" s="5"/>
      <c r="AI302" s="5"/>
      <c r="AJ302" s="5"/>
      <c r="AK302" s="5"/>
      <c r="AL302" s="5"/>
      <c r="AM302" s="5"/>
      <c r="AN302" s="5"/>
      <c r="AO302" s="5"/>
      <c r="AP302" s="5"/>
      <c r="AQ302" s="5"/>
      <c r="AR302" s="5"/>
      <c r="AS302" s="30"/>
      <c r="AT302" s="37"/>
      <c r="AU302" s="37"/>
      <c r="AV302" s="37"/>
      <c r="AW302" s="37"/>
      <c r="AX302" s="37"/>
      <c r="AY302" s="38"/>
      <c r="AZ302" s="38"/>
      <c r="BA302" s="34">
        <v>14</v>
      </c>
      <c r="BB302" s="46"/>
      <c r="BC302" s="37"/>
      <c r="BD302" s="37"/>
      <c r="BE302" s="5"/>
      <c r="BF302" s="119"/>
      <c r="BG302" s="31"/>
      <c r="BH302" s="31"/>
      <c r="BI302" s="31"/>
      <c r="BJ302" s="48"/>
      <c r="BK302" s="49"/>
    </row>
    <row x14ac:dyDescent="0.25" r="303" customHeight="1" ht="31.5">
      <c r="A303" s="30" t="s">
        <v>2437</v>
      </c>
      <c r="B303" s="5" t="s">
        <v>2438</v>
      </c>
      <c r="C303" s="31" t="s">
        <v>2439</v>
      </c>
      <c r="D303" s="31" t="s">
        <v>2440</v>
      </c>
      <c r="E303" s="5"/>
      <c r="F303" s="5" t="s">
        <v>637</v>
      </c>
      <c r="G303" s="5" t="s">
        <v>1728</v>
      </c>
      <c r="H303" s="31" t="s">
        <v>386</v>
      </c>
      <c r="I303" s="31"/>
      <c r="J303" s="31"/>
      <c r="K303" s="5"/>
      <c r="L303" s="5"/>
      <c r="M303" s="5" t="s">
        <v>231</v>
      </c>
      <c r="N303" s="5" t="s">
        <v>1730</v>
      </c>
      <c r="O303" s="33"/>
      <c r="P303" s="5"/>
      <c r="Q303" s="5" t="s">
        <v>251</v>
      </c>
      <c r="R303" s="31" t="s">
        <v>755</v>
      </c>
      <c r="S303" s="31"/>
      <c r="T303" s="31"/>
      <c r="U303" s="31" t="s">
        <v>2439</v>
      </c>
      <c r="V303" s="5"/>
      <c r="W303" s="40">
        <v>0</v>
      </c>
      <c r="X303" s="31" t="s">
        <v>386</v>
      </c>
      <c r="Y303" s="42"/>
      <c r="Z303" s="38" t="s">
        <v>386</v>
      </c>
      <c r="AA303" s="31"/>
      <c r="AB303" s="31" t="s">
        <v>2441</v>
      </c>
      <c r="AC303" s="5" t="s">
        <v>24</v>
      </c>
      <c r="AD303" s="5" t="s">
        <v>1733</v>
      </c>
      <c r="AE303" s="169" t="s">
        <v>2319</v>
      </c>
      <c r="AF303" s="5" t="s">
        <v>649</v>
      </c>
      <c r="AG303" s="5" t="s">
        <v>14</v>
      </c>
      <c r="AH303" s="5"/>
      <c r="AI303" s="5"/>
      <c r="AJ303" s="5"/>
      <c r="AK303" s="5"/>
      <c r="AL303" s="5"/>
      <c r="AM303" s="5"/>
      <c r="AN303" s="5"/>
      <c r="AO303" s="5"/>
      <c r="AP303" s="5"/>
      <c r="AQ303" s="5"/>
      <c r="AR303" s="5"/>
      <c r="AS303" s="30"/>
      <c r="AT303" s="37"/>
      <c r="AU303" s="37"/>
      <c r="AV303" s="37"/>
      <c r="AW303" s="37"/>
      <c r="AX303" s="37"/>
      <c r="AY303" s="38"/>
      <c r="AZ303" s="38"/>
      <c r="BA303" s="34">
        <v>13</v>
      </c>
      <c r="BB303" s="46"/>
      <c r="BC303" s="37"/>
      <c r="BD303" s="37"/>
      <c r="BE303" s="5"/>
      <c r="BF303" s="5"/>
      <c r="BG303" s="31"/>
      <c r="BH303" s="31"/>
      <c r="BI303" s="31"/>
      <c r="BJ303" s="48"/>
      <c r="BK303" s="49"/>
    </row>
    <row x14ac:dyDescent="0.25" r="304" customHeight="1" ht="31.5">
      <c r="A304" s="30" t="s">
        <v>2442</v>
      </c>
      <c r="B304" s="5" t="s">
        <v>2443</v>
      </c>
      <c r="C304" s="31" t="s">
        <v>2444</v>
      </c>
      <c r="D304" s="31" t="s">
        <v>2445</v>
      </c>
      <c r="E304" s="5"/>
      <c r="F304" s="5" t="s">
        <v>637</v>
      </c>
      <c r="G304" s="5" t="s">
        <v>1728</v>
      </c>
      <c r="H304" s="31" t="s">
        <v>386</v>
      </c>
      <c r="I304" s="31"/>
      <c r="J304" s="31"/>
      <c r="K304" s="5"/>
      <c r="L304" s="5"/>
      <c r="M304" s="5" t="s">
        <v>231</v>
      </c>
      <c r="N304" s="5" t="s">
        <v>1730</v>
      </c>
      <c r="O304" s="33"/>
      <c r="P304" s="5"/>
      <c r="Q304" s="5" t="s">
        <v>251</v>
      </c>
      <c r="R304" s="31" t="s">
        <v>755</v>
      </c>
      <c r="S304" s="31"/>
      <c r="T304" s="31"/>
      <c r="U304" s="31" t="s">
        <v>2444</v>
      </c>
      <c r="V304" s="5"/>
      <c r="W304" s="40">
        <v>0</v>
      </c>
      <c r="X304" s="31" t="s">
        <v>386</v>
      </c>
      <c r="Y304" s="42"/>
      <c r="Z304" s="38" t="s">
        <v>386</v>
      </c>
      <c r="AA304" s="31"/>
      <c r="AB304" s="31" t="s">
        <v>2446</v>
      </c>
      <c r="AC304" s="5" t="s">
        <v>24</v>
      </c>
      <c r="AD304" s="5" t="s">
        <v>1733</v>
      </c>
      <c r="AE304" s="169" t="s">
        <v>2319</v>
      </c>
      <c r="AF304" s="5" t="s">
        <v>664</v>
      </c>
      <c r="AG304" s="5" t="s">
        <v>14</v>
      </c>
      <c r="AH304" s="5"/>
      <c r="AI304" s="5"/>
      <c r="AJ304" s="5"/>
      <c r="AK304" s="5"/>
      <c r="AL304" s="5"/>
      <c r="AM304" s="5"/>
      <c r="AN304" s="5"/>
      <c r="AO304" s="5"/>
      <c r="AP304" s="5"/>
      <c r="AQ304" s="5"/>
      <c r="AR304" s="5"/>
      <c r="AS304" s="30"/>
      <c r="AT304" s="37"/>
      <c r="AU304" s="37"/>
      <c r="AV304" s="37"/>
      <c r="AW304" s="37"/>
      <c r="AX304" s="37"/>
      <c r="AY304" s="38"/>
      <c r="AZ304" s="38"/>
      <c r="BA304" s="34">
        <v>15</v>
      </c>
      <c r="BB304" s="46"/>
      <c r="BC304" s="37"/>
      <c r="BD304" s="37"/>
      <c r="BE304" s="5"/>
      <c r="BF304" s="5"/>
      <c r="BG304" s="31"/>
      <c r="BH304" s="31"/>
      <c r="BI304" s="31"/>
      <c r="BJ304" s="48"/>
      <c r="BK304" s="49"/>
    </row>
    <row x14ac:dyDescent="0.25" r="305" customHeight="1" ht="31.5">
      <c r="A305" s="30" t="s">
        <v>2447</v>
      </c>
      <c r="B305" s="5" t="s">
        <v>2448</v>
      </c>
      <c r="C305" s="31" t="s">
        <v>2449</v>
      </c>
      <c r="D305" s="31" t="s">
        <v>2450</v>
      </c>
      <c r="E305" s="5"/>
      <c r="F305" s="5" t="s">
        <v>637</v>
      </c>
      <c r="G305" s="5" t="s">
        <v>1728</v>
      </c>
      <c r="H305" s="31" t="s">
        <v>386</v>
      </c>
      <c r="I305" s="31"/>
      <c r="J305" s="31"/>
      <c r="K305" s="5"/>
      <c r="L305" s="5"/>
      <c r="M305" s="5" t="s">
        <v>231</v>
      </c>
      <c r="N305" s="5" t="s">
        <v>1730</v>
      </c>
      <c r="O305" s="33"/>
      <c r="P305" s="5"/>
      <c r="Q305" s="5" t="s">
        <v>251</v>
      </c>
      <c r="R305" s="31" t="s">
        <v>755</v>
      </c>
      <c r="S305" s="31"/>
      <c r="T305" s="31"/>
      <c r="U305" s="31" t="s">
        <v>2449</v>
      </c>
      <c r="V305" s="5"/>
      <c r="W305" s="40">
        <v>0</v>
      </c>
      <c r="X305" s="31" t="s">
        <v>386</v>
      </c>
      <c r="Y305" s="42"/>
      <c r="Z305" s="38" t="s">
        <v>386</v>
      </c>
      <c r="AA305" s="31"/>
      <c r="AB305" s="31" t="s">
        <v>2451</v>
      </c>
      <c r="AC305" s="5" t="s">
        <v>24</v>
      </c>
      <c r="AD305" s="5" t="s">
        <v>1733</v>
      </c>
      <c r="AE305" s="169" t="s">
        <v>2319</v>
      </c>
      <c r="AF305" s="5" t="s">
        <v>672</v>
      </c>
      <c r="AG305" s="5" t="s">
        <v>28</v>
      </c>
      <c r="AH305" s="5"/>
      <c r="AI305" s="5"/>
      <c r="AJ305" s="5"/>
      <c r="AK305" s="5"/>
      <c r="AL305" s="5"/>
      <c r="AM305" s="5"/>
      <c r="AN305" s="5"/>
      <c r="AO305" s="5"/>
      <c r="AP305" s="5"/>
      <c r="AQ305" s="5"/>
      <c r="AR305" s="5"/>
      <c r="AS305" s="30"/>
      <c r="AT305" s="37"/>
      <c r="AU305" s="37"/>
      <c r="AV305" s="37"/>
      <c r="AW305" s="37"/>
      <c r="AX305" s="37"/>
      <c r="AY305" s="38"/>
      <c r="AZ305" s="38"/>
      <c r="BA305" s="34">
        <v>11</v>
      </c>
      <c r="BB305" s="46"/>
      <c r="BC305" s="37"/>
      <c r="BD305" s="37"/>
      <c r="BE305" s="5"/>
      <c r="BF305" s="5"/>
      <c r="BG305" s="31"/>
      <c r="BH305" s="31"/>
      <c r="BI305" s="31"/>
      <c r="BJ305" s="48"/>
      <c r="BK305" s="49"/>
    </row>
    <row x14ac:dyDescent="0.25" r="306" customHeight="1" ht="31.5">
      <c r="A306" s="30" t="s">
        <v>2452</v>
      </c>
      <c r="B306" s="5" t="s">
        <v>2453</v>
      </c>
      <c r="C306" s="31" t="s">
        <v>2454</v>
      </c>
      <c r="D306" s="31" t="s">
        <v>2455</v>
      </c>
      <c r="E306" s="5"/>
      <c r="F306" s="5" t="s">
        <v>637</v>
      </c>
      <c r="G306" s="5" t="s">
        <v>1728</v>
      </c>
      <c r="H306" s="31" t="s">
        <v>386</v>
      </c>
      <c r="I306" s="31"/>
      <c r="J306" s="31"/>
      <c r="K306" s="5"/>
      <c r="L306" s="5"/>
      <c r="M306" s="5" t="s">
        <v>231</v>
      </c>
      <c r="N306" s="5" t="s">
        <v>1730</v>
      </c>
      <c r="O306" s="33"/>
      <c r="P306" s="5"/>
      <c r="Q306" s="5" t="s">
        <v>251</v>
      </c>
      <c r="R306" s="31" t="s">
        <v>755</v>
      </c>
      <c r="S306" s="31"/>
      <c r="T306" s="31"/>
      <c r="U306" s="31" t="s">
        <v>2454</v>
      </c>
      <c r="V306" s="5"/>
      <c r="W306" s="40">
        <v>0</v>
      </c>
      <c r="X306" s="31" t="s">
        <v>386</v>
      </c>
      <c r="Y306" s="42"/>
      <c r="Z306" s="38" t="s">
        <v>386</v>
      </c>
      <c r="AA306" s="31"/>
      <c r="AB306" s="31" t="s">
        <v>2456</v>
      </c>
      <c r="AC306" s="5" t="s">
        <v>24</v>
      </c>
      <c r="AD306" s="5" t="s">
        <v>1733</v>
      </c>
      <c r="AE306" s="169" t="s">
        <v>2319</v>
      </c>
      <c r="AF306" s="5" t="s">
        <v>649</v>
      </c>
      <c r="AG306" s="5" t="s">
        <v>28</v>
      </c>
      <c r="AH306" s="5"/>
      <c r="AI306" s="5"/>
      <c r="AJ306" s="5"/>
      <c r="AK306" s="5"/>
      <c r="AL306" s="5"/>
      <c r="AM306" s="5"/>
      <c r="AN306" s="5"/>
      <c r="AO306" s="5"/>
      <c r="AP306" s="5"/>
      <c r="AQ306" s="5"/>
      <c r="AR306" s="5"/>
      <c r="AS306" s="30"/>
      <c r="AT306" s="37"/>
      <c r="AU306" s="37"/>
      <c r="AV306" s="37"/>
      <c r="AW306" s="37"/>
      <c r="AX306" s="37"/>
      <c r="AY306" s="38"/>
      <c r="AZ306" s="38"/>
      <c r="BA306" s="34">
        <v>10</v>
      </c>
      <c r="BB306" s="46"/>
      <c r="BC306" s="37"/>
      <c r="BD306" s="37"/>
      <c r="BE306" s="5"/>
      <c r="BF306" s="5"/>
      <c r="BG306" s="31"/>
      <c r="BH306" s="31"/>
      <c r="BI306" s="31"/>
      <c r="BJ306" s="48"/>
      <c r="BK306" s="49"/>
    </row>
    <row x14ac:dyDescent="0.25" r="307" customHeight="1" ht="31.5">
      <c r="A307" s="30" t="s">
        <v>2457</v>
      </c>
      <c r="B307" s="5" t="s">
        <v>2458</v>
      </c>
      <c r="C307" s="31" t="s">
        <v>2459</v>
      </c>
      <c r="D307" s="31" t="s">
        <v>2460</v>
      </c>
      <c r="E307" s="5"/>
      <c r="F307" s="5" t="s">
        <v>637</v>
      </c>
      <c r="G307" s="5" t="s">
        <v>1728</v>
      </c>
      <c r="H307" s="31" t="s">
        <v>386</v>
      </c>
      <c r="I307" s="31"/>
      <c r="J307" s="31"/>
      <c r="K307" s="5"/>
      <c r="L307" s="5"/>
      <c r="M307" s="5" t="s">
        <v>231</v>
      </c>
      <c r="N307" s="5" t="s">
        <v>1730</v>
      </c>
      <c r="O307" s="33"/>
      <c r="P307" s="5"/>
      <c r="Q307" s="5" t="s">
        <v>251</v>
      </c>
      <c r="R307" s="31" t="s">
        <v>755</v>
      </c>
      <c r="S307" s="31"/>
      <c r="T307" s="31"/>
      <c r="U307" s="31" t="s">
        <v>2459</v>
      </c>
      <c r="V307" s="5"/>
      <c r="W307" s="40">
        <v>0</v>
      </c>
      <c r="X307" s="31" t="s">
        <v>386</v>
      </c>
      <c r="Y307" s="42"/>
      <c r="Z307" s="38" t="s">
        <v>386</v>
      </c>
      <c r="AA307" s="31"/>
      <c r="AB307" s="31" t="s">
        <v>2461</v>
      </c>
      <c r="AC307" s="5" t="s">
        <v>24</v>
      </c>
      <c r="AD307" s="5" t="s">
        <v>1733</v>
      </c>
      <c r="AE307" s="169" t="s">
        <v>2319</v>
      </c>
      <c r="AF307" s="5" t="s">
        <v>664</v>
      </c>
      <c r="AG307" s="5" t="s">
        <v>28</v>
      </c>
      <c r="AH307" s="5"/>
      <c r="AI307" s="5"/>
      <c r="AJ307" s="5"/>
      <c r="AK307" s="5"/>
      <c r="AL307" s="5"/>
      <c r="AM307" s="5"/>
      <c r="AN307" s="5"/>
      <c r="AO307" s="5"/>
      <c r="AP307" s="5"/>
      <c r="AQ307" s="5"/>
      <c r="AR307" s="5"/>
      <c r="AS307" s="30"/>
      <c r="AT307" s="37"/>
      <c r="AU307" s="37"/>
      <c r="AV307" s="37"/>
      <c r="AW307" s="37"/>
      <c r="AX307" s="37"/>
      <c r="AY307" s="38"/>
      <c r="AZ307" s="38"/>
      <c r="BA307" s="34">
        <v>12</v>
      </c>
      <c r="BB307" s="46"/>
      <c r="BC307" s="37"/>
      <c r="BD307" s="37"/>
      <c r="BE307" s="5"/>
      <c r="BF307" s="119"/>
      <c r="BG307" s="31"/>
      <c r="BH307" s="31"/>
      <c r="BI307" s="31"/>
      <c r="BJ307" s="48"/>
      <c r="BK307" s="49"/>
    </row>
    <row x14ac:dyDescent="0.25" r="308" customHeight="1" ht="31.5">
      <c r="A308" s="30">
        <v>40023</v>
      </c>
      <c r="B308" s="5" t="s">
        <v>2462</v>
      </c>
      <c r="C308" s="31" t="s">
        <v>2463</v>
      </c>
      <c r="D308" s="31" t="s">
        <v>2464</v>
      </c>
      <c r="E308" s="5"/>
      <c r="F308" s="5" t="s">
        <v>637</v>
      </c>
      <c r="G308" s="5" t="s">
        <v>1728</v>
      </c>
      <c r="H308" s="31" t="s">
        <v>386</v>
      </c>
      <c r="I308" s="31"/>
      <c r="J308" s="31"/>
      <c r="K308" s="5"/>
      <c r="L308" s="5"/>
      <c r="M308" s="5" t="s">
        <v>231</v>
      </c>
      <c r="N308" s="5" t="s">
        <v>1730</v>
      </c>
      <c r="O308" s="33"/>
      <c r="P308" s="5"/>
      <c r="Q308" s="5" t="s">
        <v>251</v>
      </c>
      <c r="R308" s="31" t="s">
        <v>755</v>
      </c>
      <c r="S308" s="31"/>
      <c r="T308" s="31"/>
      <c r="U308" s="31" t="s">
        <v>2465</v>
      </c>
      <c r="V308" s="5"/>
      <c r="W308" s="40">
        <v>2</v>
      </c>
      <c r="X308" s="31" t="s">
        <v>581</v>
      </c>
      <c r="Y308" s="42"/>
      <c r="Z308" s="34">
        <v>1</v>
      </c>
      <c r="AA308" s="31"/>
      <c r="AB308" s="5" t="s">
        <v>2466</v>
      </c>
      <c r="AC308" s="5" t="s">
        <v>24</v>
      </c>
      <c r="AD308" s="5" t="s">
        <v>1733</v>
      </c>
      <c r="AE308" s="169" t="s">
        <v>1734</v>
      </c>
      <c r="AF308" s="5" t="s">
        <v>2467</v>
      </c>
      <c r="AG308" s="5"/>
      <c r="AH308" s="5"/>
      <c r="AI308" s="5"/>
      <c r="AJ308" s="5"/>
      <c r="AK308" s="5"/>
      <c r="AL308" s="5"/>
      <c r="AM308" s="5"/>
      <c r="AN308" s="5"/>
      <c r="AO308" s="5"/>
      <c r="AP308" s="5"/>
      <c r="AQ308" s="5"/>
      <c r="AR308" s="5"/>
      <c r="AS308" s="30"/>
      <c r="AT308" s="37"/>
      <c r="AU308" s="37"/>
      <c r="AV308" s="37"/>
      <c r="AW308" s="37"/>
      <c r="AX308" s="37"/>
      <c r="AY308" s="38"/>
      <c r="AZ308" s="38"/>
      <c r="BA308" s="34">
        <v>21</v>
      </c>
      <c r="BB308" s="46"/>
      <c r="BC308" s="37"/>
      <c r="BD308" s="37"/>
      <c r="BE308" s="5"/>
      <c r="BF308" s="5"/>
      <c r="BG308" s="31" t="s">
        <v>2468</v>
      </c>
      <c r="BH308" s="31"/>
      <c r="BI308" s="31" t="s">
        <v>2468</v>
      </c>
      <c r="BJ308" s="48"/>
      <c r="BK308" s="49"/>
    </row>
    <row x14ac:dyDescent="0.25" r="309" customHeight="1" ht="31.5">
      <c r="A309" s="30">
        <v>40001</v>
      </c>
      <c r="B309" s="5" t="s">
        <v>2469</v>
      </c>
      <c r="C309" s="31" t="s">
        <v>2470</v>
      </c>
      <c r="D309" s="31" t="s">
        <v>2471</v>
      </c>
      <c r="E309" s="5"/>
      <c r="F309" s="5" t="s">
        <v>2472</v>
      </c>
      <c r="G309" s="5" t="s">
        <v>1728</v>
      </c>
      <c r="H309" s="31" t="s">
        <v>386</v>
      </c>
      <c r="I309" s="31"/>
      <c r="J309" s="31"/>
      <c r="K309" s="5"/>
      <c r="L309" s="5"/>
      <c r="M309" s="5" t="s">
        <v>231</v>
      </c>
      <c r="N309" s="5" t="s">
        <v>1730</v>
      </c>
      <c r="O309" s="33"/>
      <c r="P309" s="5"/>
      <c r="Q309" s="5" t="s">
        <v>251</v>
      </c>
      <c r="R309" s="31" t="s">
        <v>755</v>
      </c>
      <c r="S309" s="31"/>
      <c r="T309" s="31"/>
      <c r="U309" s="31" t="s">
        <v>2473</v>
      </c>
      <c r="V309" s="5"/>
      <c r="W309" s="40">
        <v>0</v>
      </c>
      <c r="X309" s="41" t="s">
        <v>386</v>
      </c>
      <c r="Y309" s="42"/>
      <c r="Z309" s="38" t="s">
        <v>386</v>
      </c>
      <c r="AA309" s="31"/>
      <c r="AB309" s="5" t="s">
        <v>2474</v>
      </c>
      <c r="AC309" s="5" t="s">
        <v>98</v>
      </c>
      <c r="AD309" s="5" t="s">
        <v>1733</v>
      </c>
      <c r="AE309" s="169" t="s">
        <v>2475</v>
      </c>
      <c r="AF309" s="5" t="s">
        <v>2474</v>
      </c>
      <c r="AG309" s="5"/>
      <c r="AH309" s="5"/>
      <c r="AI309" s="5"/>
      <c r="AJ309" s="5"/>
      <c r="AK309" s="5"/>
      <c r="AL309" s="5"/>
      <c r="AM309" s="5"/>
      <c r="AN309" s="5"/>
      <c r="AO309" s="5"/>
      <c r="AP309" s="5"/>
      <c r="AQ309" s="5"/>
      <c r="AR309" s="5"/>
      <c r="AS309" s="30"/>
      <c r="AT309" s="37"/>
      <c r="AU309" s="37"/>
      <c r="AV309" s="37"/>
      <c r="AW309" s="37"/>
      <c r="AX309" s="37"/>
      <c r="AY309" s="38"/>
      <c r="AZ309" s="38"/>
      <c r="BA309" s="34">
        <v>2</v>
      </c>
      <c r="BB309" s="46"/>
      <c r="BC309" s="37"/>
      <c r="BD309" s="37"/>
      <c r="BE309" s="5"/>
      <c r="BF309" s="5"/>
      <c r="BG309" s="31"/>
      <c r="BH309" s="31"/>
      <c r="BI309" s="31"/>
      <c r="BJ309" s="48"/>
      <c r="BK309" s="49"/>
    </row>
    <row x14ac:dyDescent="0.25" r="310" customHeight="1" ht="31.5">
      <c r="A310" s="30">
        <v>40016</v>
      </c>
      <c r="B310" s="5" t="s">
        <v>2476</v>
      </c>
      <c r="C310" s="31" t="s">
        <v>2477</v>
      </c>
      <c r="D310" s="31" t="s">
        <v>2478</v>
      </c>
      <c r="E310" s="5"/>
      <c r="F310" s="5" t="s">
        <v>2479</v>
      </c>
      <c r="G310" s="5" t="s">
        <v>1728</v>
      </c>
      <c r="H310" s="31" t="s">
        <v>386</v>
      </c>
      <c r="I310" s="31"/>
      <c r="J310" s="31"/>
      <c r="K310" s="5"/>
      <c r="L310" s="5"/>
      <c r="M310" s="5" t="s">
        <v>231</v>
      </c>
      <c r="N310" s="5" t="s">
        <v>1730</v>
      </c>
      <c r="O310" s="33"/>
      <c r="P310" s="5"/>
      <c r="Q310" s="1"/>
      <c r="R310" s="31"/>
      <c r="S310" s="31"/>
      <c r="T310" s="31"/>
      <c r="U310" s="31" t="s">
        <v>2480</v>
      </c>
      <c r="V310" s="5"/>
      <c r="W310" s="40">
        <v>0</v>
      </c>
      <c r="X310" s="31" t="s">
        <v>386</v>
      </c>
      <c r="Y310" s="42"/>
      <c r="Z310" s="20" t="s">
        <v>386</v>
      </c>
      <c r="AA310" s="31"/>
      <c r="AB310" s="5" t="s">
        <v>2481</v>
      </c>
      <c r="AC310" s="5" t="s">
        <v>38</v>
      </c>
      <c r="AD310" s="5" t="s">
        <v>1733</v>
      </c>
      <c r="AE310" s="169" t="s">
        <v>1734</v>
      </c>
      <c r="AF310" s="5" t="s">
        <v>2481</v>
      </c>
      <c r="AG310" s="5"/>
      <c r="AH310" s="5"/>
      <c r="AI310" s="5"/>
      <c r="AJ310" s="5"/>
      <c r="AK310" s="5"/>
      <c r="AL310" s="5"/>
      <c r="AM310" s="5"/>
      <c r="AN310" s="5"/>
      <c r="AO310" s="5"/>
      <c r="AP310" s="5"/>
      <c r="AQ310" s="5"/>
      <c r="AR310" s="5"/>
      <c r="AS310" s="30"/>
      <c r="AT310" s="37"/>
      <c r="AU310" s="37"/>
      <c r="AV310" s="37"/>
      <c r="AW310" s="37"/>
      <c r="AX310" s="37"/>
      <c r="AY310" s="38"/>
      <c r="AZ310" s="38"/>
      <c r="BA310" s="34">
        <v>4</v>
      </c>
      <c r="BB310" s="46"/>
      <c r="BC310" s="37"/>
      <c r="BD310" s="37"/>
      <c r="BE310" s="5"/>
      <c r="BF310" s="5"/>
      <c r="BG310" s="31"/>
      <c r="BH310" s="31"/>
      <c r="BI310" s="31"/>
      <c r="BJ310" s="48"/>
      <c r="BK310" s="49"/>
    </row>
    <row x14ac:dyDescent="0.25" r="311" customHeight="1" ht="31.5">
      <c r="A311" s="99">
        <v>40025</v>
      </c>
      <c r="B311" s="100" t="s">
        <v>2482</v>
      </c>
      <c r="C311" s="101" t="s">
        <v>2483</v>
      </c>
      <c r="D311" s="101" t="s">
        <v>2484</v>
      </c>
      <c r="E311" s="100"/>
      <c r="F311" s="100" t="s">
        <v>226</v>
      </c>
      <c r="G311" s="100" t="s">
        <v>1728</v>
      </c>
      <c r="H311" s="101" t="s">
        <v>386</v>
      </c>
      <c r="I311" s="101"/>
      <c r="J311" s="101"/>
      <c r="K311" s="100"/>
      <c r="L311" s="100"/>
      <c r="M311" s="100" t="s">
        <v>231</v>
      </c>
      <c r="N311" s="100" t="s">
        <v>1730</v>
      </c>
      <c r="O311" s="115"/>
      <c r="P311" s="100"/>
      <c r="Q311" s="100" t="s">
        <v>2485</v>
      </c>
      <c r="R311" s="101" t="s">
        <v>755</v>
      </c>
      <c r="S311" s="101"/>
      <c r="T311" s="101" t="s">
        <v>2486</v>
      </c>
      <c r="U311" s="101" t="s">
        <v>2487</v>
      </c>
      <c r="V311" s="100"/>
      <c r="W311" s="103">
        <v>2</v>
      </c>
      <c r="X311" s="101"/>
      <c r="Y311" s="100" t="s">
        <v>256</v>
      </c>
      <c r="Z311" s="103">
        <v>0</v>
      </c>
      <c r="AA311" s="101"/>
      <c r="AB311" s="100" t="s">
        <v>2488</v>
      </c>
      <c r="AC311" s="100" t="s">
        <v>38</v>
      </c>
      <c r="AD311" s="100"/>
      <c r="AE311" s="232"/>
      <c r="AF311" s="100"/>
      <c r="AG311" s="100"/>
      <c r="AH311" s="100"/>
      <c r="AI311" s="100"/>
      <c r="AJ311" s="100"/>
      <c r="AK311" s="100"/>
      <c r="AL311" s="100"/>
      <c r="AM311" s="100"/>
      <c r="AN311" s="100"/>
      <c r="AO311" s="100"/>
      <c r="AP311" s="100"/>
      <c r="AQ311" s="100"/>
      <c r="AR311" s="100"/>
      <c r="AS311" s="99"/>
      <c r="AT311" s="98"/>
      <c r="AU311" s="98"/>
      <c r="AV311" s="98"/>
      <c r="AW311" s="98"/>
      <c r="AX311" s="98"/>
      <c r="AY311" s="104"/>
      <c r="AZ311" s="104"/>
      <c r="BA311" s="103">
        <v>31</v>
      </c>
      <c r="BB311" s="102"/>
      <c r="BC311" s="98"/>
      <c r="BD311" s="98"/>
      <c r="BE311" s="100"/>
      <c r="BF311" s="100"/>
      <c r="BG311" s="101" t="s">
        <v>2489</v>
      </c>
      <c r="BH311" s="101"/>
      <c r="BI311" s="101" t="s">
        <v>2489</v>
      </c>
      <c r="BJ311" s="101"/>
      <c r="BK311" s="99">
        <v>1</v>
      </c>
    </row>
    <row x14ac:dyDescent="0.25" r="312" customHeight="1" ht="31.5">
      <c r="A312" s="99">
        <v>40024</v>
      </c>
      <c r="B312" s="100" t="s">
        <v>2490</v>
      </c>
      <c r="C312" s="101" t="s">
        <v>2491</v>
      </c>
      <c r="D312" s="101" t="s">
        <v>2492</v>
      </c>
      <c r="E312" s="100"/>
      <c r="F312" s="100" t="s">
        <v>226</v>
      </c>
      <c r="G312" s="100" t="s">
        <v>1728</v>
      </c>
      <c r="H312" s="101" t="s">
        <v>386</v>
      </c>
      <c r="I312" s="233"/>
      <c r="J312" s="233"/>
      <c r="K312" s="100"/>
      <c r="L312" s="100"/>
      <c r="M312" s="100" t="s">
        <v>231</v>
      </c>
      <c r="N312" s="100" t="s">
        <v>1730</v>
      </c>
      <c r="O312" s="115"/>
      <c r="P312" s="100"/>
      <c r="Q312" s="100" t="s">
        <v>2493</v>
      </c>
      <c r="R312" s="101" t="s">
        <v>755</v>
      </c>
      <c r="S312" s="101"/>
      <c r="T312" s="101" t="s">
        <v>2494</v>
      </c>
      <c r="U312" s="101" t="s">
        <v>2495</v>
      </c>
      <c r="V312" s="100"/>
      <c r="W312" s="103">
        <v>1</v>
      </c>
      <c r="X312" s="101"/>
      <c r="Y312" s="100" t="s">
        <v>256</v>
      </c>
      <c r="Z312" s="103">
        <v>0</v>
      </c>
      <c r="AA312" s="101"/>
      <c r="AB312" s="100" t="s">
        <v>2496</v>
      </c>
      <c r="AC312" s="100" t="s">
        <v>52</v>
      </c>
      <c r="AD312" s="100"/>
      <c r="AE312" s="232"/>
      <c r="AF312" s="100"/>
      <c r="AG312" s="100"/>
      <c r="AH312" s="100"/>
      <c r="AI312" s="100"/>
      <c r="AJ312" s="100"/>
      <c r="AK312" s="100"/>
      <c r="AL312" s="100"/>
      <c r="AM312" s="100"/>
      <c r="AN312" s="100"/>
      <c r="AO312" s="100"/>
      <c r="AP312" s="100"/>
      <c r="AQ312" s="100"/>
      <c r="AR312" s="100"/>
      <c r="AS312" s="99"/>
      <c r="AT312" s="98"/>
      <c r="AU312" s="98"/>
      <c r="AV312" s="98"/>
      <c r="AW312" s="98"/>
      <c r="AX312" s="98"/>
      <c r="AY312" s="104"/>
      <c r="AZ312" s="104"/>
      <c r="BA312" s="104"/>
      <c r="BB312" s="102"/>
      <c r="BC312" s="98"/>
      <c r="BD312" s="98"/>
      <c r="BE312" s="100"/>
      <c r="BF312" s="100"/>
      <c r="BG312" s="213" t="s">
        <v>2497</v>
      </c>
      <c r="BH312" s="213"/>
      <c r="BI312" s="101" t="s">
        <v>2497</v>
      </c>
      <c r="BJ312" s="101"/>
      <c r="BK312" s="99">
        <v>1</v>
      </c>
    </row>
    <row x14ac:dyDescent="0.25" r="313" customHeight="1" ht="31.5">
      <c r="A313" s="30">
        <v>40015</v>
      </c>
      <c r="B313" s="5" t="s">
        <v>2498</v>
      </c>
      <c r="C313" s="31" t="s">
        <v>2499</v>
      </c>
      <c r="D313" s="31" t="s">
        <v>2500</v>
      </c>
      <c r="E313" s="5"/>
      <c r="F313" s="5" t="s">
        <v>226</v>
      </c>
      <c r="G313" s="5" t="s">
        <v>1728</v>
      </c>
      <c r="H313" s="31" t="s">
        <v>386</v>
      </c>
      <c r="I313" s="31"/>
      <c r="J313" s="31"/>
      <c r="K313" s="5"/>
      <c r="L313" s="5"/>
      <c r="M313" s="5" t="s">
        <v>231</v>
      </c>
      <c r="N313" s="5" t="s">
        <v>1730</v>
      </c>
      <c r="O313" s="33"/>
      <c r="P313" s="5"/>
      <c r="Q313" s="5" t="s">
        <v>251</v>
      </c>
      <c r="R313" s="31" t="s">
        <v>755</v>
      </c>
      <c r="S313" s="31"/>
      <c r="T313" s="31"/>
      <c r="U313" s="31" t="s">
        <v>2499</v>
      </c>
      <c r="V313" s="5"/>
      <c r="W313" s="40">
        <v>2</v>
      </c>
      <c r="X313" s="55" t="s">
        <v>235</v>
      </c>
      <c r="Y313" s="42" t="s">
        <v>256</v>
      </c>
      <c r="Z313" s="34">
        <v>0</v>
      </c>
      <c r="AA313" s="31"/>
      <c r="AB313" s="5" t="s">
        <v>2501</v>
      </c>
      <c r="AC313" s="5" t="s">
        <v>38</v>
      </c>
      <c r="AD313" s="5" t="s">
        <v>1733</v>
      </c>
      <c r="AE313" s="169" t="s">
        <v>2393</v>
      </c>
      <c r="AF313" s="5" t="s">
        <v>2501</v>
      </c>
      <c r="AG313" s="5"/>
      <c r="AH313" s="5"/>
      <c r="AI313" s="5"/>
      <c r="AJ313" s="5"/>
      <c r="AK313" s="5"/>
      <c r="AL313" s="5"/>
      <c r="AM313" s="5"/>
      <c r="AN313" s="5"/>
      <c r="AO313" s="5"/>
      <c r="AP313" s="5"/>
      <c r="AQ313" s="5"/>
      <c r="AR313" s="5"/>
      <c r="AS313" s="30"/>
      <c r="AT313" s="37"/>
      <c r="AU313" s="37"/>
      <c r="AV313" s="37"/>
      <c r="AW313" s="37"/>
      <c r="AX313" s="37"/>
      <c r="AY313" s="38"/>
      <c r="AZ313" s="38"/>
      <c r="BA313" s="34">
        <v>32</v>
      </c>
      <c r="BB313" s="46"/>
      <c r="BC313" s="37"/>
      <c r="BD313" s="37"/>
      <c r="BE313" s="5"/>
      <c r="BF313" s="5"/>
      <c r="BG313" s="31" t="s">
        <v>2502</v>
      </c>
      <c r="BH313" s="31"/>
      <c r="BI313" s="31" t="s">
        <v>2502</v>
      </c>
      <c r="BJ313" s="48"/>
      <c r="BK313" s="49">
        <v>1</v>
      </c>
    </row>
    <row x14ac:dyDescent="0.25" r="314" customHeight="1" ht="31.5">
      <c r="A314" s="30">
        <v>40014</v>
      </c>
      <c r="B314" s="5" t="s">
        <v>2503</v>
      </c>
      <c r="C314" s="31" t="s">
        <v>2504</v>
      </c>
      <c r="D314" s="31" t="s">
        <v>2505</v>
      </c>
      <c r="E314" s="5"/>
      <c r="F314" s="5" t="s">
        <v>226</v>
      </c>
      <c r="G314" s="5" t="s">
        <v>1728</v>
      </c>
      <c r="H314" s="31" t="s">
        <v>386</v>
      </c>
      <c r="I314" s="31"/>
      <c r="J314" s="31"/>
      <c r="K314" s="5"/>
      <c r="L314" s="5"/>
      <c r="M314" s="5" t="s">
        <v>231</v>
      </c>
      <c r="N314" s="5" t="s">
        <v>1730</v>
      </c>
      <c r="O314" s="33"/>
      <c r="P314" s="5"/>
      <c r="Q314" s="5" t="s">
        <v>251</v>
      </c>
      <c r="R314" s="31" t="s">
        <v>755</v>
      </c>
      <c r="S314" s="31"/>
      <c r="T314" s="31"/>
      <c r="U314" s="31" t="s">
        <v>2504</v>
      </c>
      <c r="V314" s="5"/>
      <c r="W314" s="40">
        <v>2</v>
      </c>
      <c r="X314" s="55" t="s">
        <v>235</v>
      </c>
      <c r="Y314" s="42" t="s">
        <v>256</v>
      </c>
      <c r="Z314" s="34">
        <v>0</v>
      </c>
      <c r="AA314" s="31"/>
      <c r="AB314" s="5" t="s">
        <v>2506</v>
      </c>
      <c r="AC314" s="5" t="s">
        <v>38</v>
      </c>
      <c r="AD314" s="5" t="s">
        <v>1733</v>
      </c>
      <c r="AE314" s="169" t="s">
        <v>2393</v>
      </c>
      <c r="AF314" s="5" t="s">
        <v>2506</v>
      </c>
      <c r="AG314" s="5"/>
      <c r="AH314" s="5"/>
      <c r="AI314" s="5"/>
      <c r="AJ314" s="5"/>
      <c r="AK314" s="5"/>
      <c r="AL314" s="5"/>
      <c r="AM314" s="5"/>
      <c r="AN314" s="5"/>
      <c r="AO314" s="5"/>
      <c r="AP314" s="5"/>
      <c r="AQ314" s="5"/>
      <c r="AR314" s="5"/>
      <c r="AS314" s="30"/>
      <c r="AT314" s="37"/>
      <c r="AU314" s="37"/>
      <c r="AV314" s="37"/>
      <c r="AW314" s="37"/>
      <c r="AX314" s="37"/>
      <c r="AY314" s="38"/>
      <c r="AZ314" s="38"/>
      <c r="BA314" s="34">
        <v>30</v>
      </c>
      <c r="BB314" s="46"/>
      <c r="BC314" s="37"/>
      <c r="BD314" s="37"/>
      <c r="BE314" s="5"/>
      <c r="BF314" s="5"/>
      <c r="BG314" s="47" t="s">
        <v>2507</v>
      </c>
      <c r="BH314" s="47"/>
      <c r="BI314" s="31" t="s">
        <v>2507</v>
      </c>
      <c r="BJ314" s="48"/>
      <c r="BK314" s="49">
        <v>1</v>
      </c>
    </row>
    <row x14ac:dyDescent="0.25" r="315" customHeight="1" ht="31.5">
      <c r="A315" s="30">
        <v>40019</v>
      </c>
      <c r="B315" s="5" t="s">
        <v>2508</v>
      </c>
      <c r="C315" s="31" t="s">
        <v>2509</v>
      </c>
      <c r="D315" s="31" t="s">
        <v>2510</v>
      </c>
      <c r="E315" s="5"/>
      <c r="F315" s="5" t="s">
        <v>2511</v>
      </c>
      <c r="G315" s="5" t="s">
        <v>1728</v>
      </c>
      <c r="H315" s="31" t="s">
        <v>386</v>
      </c>
      <c r="I315" s="31"/>
      <c r="J315" s="31"/>
      <c r="K315" s="5"/>
      <c r="L315" s="5"/>
      <c r="M315" s="5" t="s">
        <v>231</v>
      </c>
      <c r="N315" s="5" t="s">
        <v>1730</v>
      </c>
      <c r="O315" s="33"/>
      <c r="P315" s="5"/>
      <c r="Q315" s="1"/>
      <c r="R315" s="31"/>
      <c r="S315" s="31"/>
      <c r="T315" s="31"/>
      <c r="U315" s="31" t="s">
        <v>2509</v>
      </c>
      <c r="V315" s="5"/>
      <c r="W315" s="40">
        <v>0</v>
      </c>
      <c r="X315" s="31" t="s">
        <v>386</v>
      </c>
      <c r="Y315" s="42"/>
      <c r="Z315" s="20" t="s">
        <v>386</v>
      </c>
      <c r="AA315" s="31"/>
      <c r="AB315" s="5" t="s">
        <v>2512</v>
      </c>
      <c r="AC315" s="5" t="s">
        <v>76</v>
      </c>
      <c r="AD315" s="5" t="s">
        <v>1733</v>
      </c>
      <c r="AE315" s="169" t="s">
        <v>2475</v>
      </c>
      <c r="AF315" s="5" t="s">
        <v>2512</v>
      </c>
      <c r="AG315" s="5"/>
      <c r="AH315" s="5"/>
      <c r="AI315" s="5"/>
      <c r="AJ315" s="5"/>
      <c r="AK315" s="5"/>
      <c r="AL315" s="5"/>
      <c r="AM315" s="5"/>
      <c r="AN315" s="5"/>
      <c r="AO315" s="5"/>
      <c r="AP315" s="5"/>
      <c r="AQ315" s="5"/>
      <c r="AR315" s="5"/>
      <c r="AS315" s="30"/>
      <c r="AT315" s="37"/>
      <c r="AU315" s="37"/>
      <c r="AV315" s="37"/>
      <c r="AW315" s="37"/>
      <c r="AX315" s="37"/>
      <c r="AY315" s="38"/>
      <c r="AZ315" s="38"/>
      <c r="BA315" s="34">
        <v>3</v>
      </c>
      <c r="BB315" s="46"/>
      <c r="BC315" s="37"/>
      <c r="BD315" s="37"/>
      <c r="BE315" s="5"/>
      <c r="BF315" s="5"/>
      <c r="BG315" s="31" t="s">
        <v>2509</v>
      </c>
      <c r="BH315" s="31"/>
      <c r="BI315" s="31" t="s">
        <v>2509</v>
      </c>
      <c r="BJ315" s="48"/>
      <c r="BK315" s="49">
        <v>1</v>
      </c>
    </row>
    <row x14ac:dyDescent="0.25" r="316" customHeight="1" ht="31.5">
      <c r="A316" s="234">
        <v>10067</v>
      </c>
      <c r="B316" s="235" t="s">
        <v>2513</v>
      </c>
      <c r="C316" s="236" t="s">
        <v>2514</v>
      </c>
      <c r="D316" s="236" t="s">
        <v>2515</v>
      </c>
      <c r="E316" s="235"/>
      <c r="F316" s="235" t="s">
        <v>226</v>
      </c>
      <c r="G316" s="235" t="s">
        <v>2516</v>
      </c>
      <c r="H316" s="236"/>
      <c r="I316" s="237"/>
      <c r="J316" s="237"/>
      <c r="K316" s="235"/>
      <c r="L316" s="235"/>
      <c r="M316" s="235" t="s">
        <v>231</v>
      </c>
      <c r="N316" s="235" t="s">
        <v>250</v>
      </c>
      <c r="O316" s="238"/>
      <c r="P316" s="235"/>
      <c r="Q316" s="239" t="s">
        <v>233</v>
      </c>
      <c r="R316" s="236" t="s">
        <v>387</v>
      </c>
      <c r="S316" s="236" t="s">
        <v>387</v>
      </c>
      <c r="T316" s="236" t="s">
        <v>2517</v>
      </c>
      <c r="U316" s="236" t="s">
        <v>2518</v>
      </c>
      <c r="V316" s="235"/>
      <c r="W316" s="240" t="s">
        <v>386</v>
      </c>
      <c r="X316" s="236"/>
      <c r="Y316" s="235" t="s">
        <v>256</v>
      </c>
      <c r="Z316" s="241"/>
      <c r="AA316" s="236" t="s">
        <v>2519</v>
      </c>
      <c r="AB316" s="236"/>
      <c r="AC316" s="5" t="s">
        <v>52</v>
      </c>
      <c r="AD316" s="236"/>
      <c r="AE316" s="242"/>
      <c r="AF316" s="236"/>
      <c r="AG316" s="236"/>
      <c r="AH316" s="236"/>
      <c r="AI316" s="236"/>
      <c r="AJ316" s="236"/>
      <c r="AK316" s="236"/>
      <c r="AL316" s="236"/>
      <c r="AM316" s="236"/>
      <c r="AN316" s="236"/>
      <c r="AO316" s="236"/>
      <c r="AP316" s="236"/>
      <c r="AQ316" s="236"/>
      <c r="AR316" s="236"/>
      <c r="AS316" s="234"/>
      <c r="AT316" s="243"/>
      <c r="AU316" s="243"/>
      <c r="AV316" s="243"/>
      <c r="AW316" s="243"/>
      <c r="AX316" s="243"/>
      <c r="AY316" s="240"/>
      <c r="AZ316" s="240"/>
      <c r="BA316" s="240"/>
      <c r="BB316" s="46"/>
      <c r="BC316" s="37"/>
      <c r="BD316" s="37"/>
      <c r="BE316" s="5"/>
      <c r="BF316" s="235"/>
      <c r="BG316" s="236" t="s">
        <v>2520</v>
      </c>
      <c r="BH316" s="236"/>
      <c r="BI316" s="236" t="s">
        <v>2520</v>
      </c>
      <c r="BJ316" s="48"/>
      <c r="BK316" s="49"/>
    </row>
    <row x14ac:dyDescent="0.25" r="317" customHeight="1" ht="31.5">
      <c r="A317" s="30" t="s">
        <v>2521</v>
      </c>
      <c r="B317" s="31" t="s">
        <v>2522</v>
      </c>
      <c r="C317" s="31" t="s">
        <v>2523</v>
      </c>
      <c r="D317" s="31" t="s">
        <v>2524</v>
      </c>
      <c r="E317" s="31"/>
      <c r="F317" s="31" t="s">
        <v>226</v>
      </c>
      <c r="G317" s="5" t="s">
        <v>2525</v>
      </c>
      <c r="H317" s="31" t="s">
        <v>1985</v>
      </c>
      <c r="I317" s="32"/>
      <c r="J317" s="32"/>
      <c r="K317" s="5"/>
      <c r="L317" s="5"/>
      <c r="M317" s="5" t="s">
        <v>231</v>
      </c>
      <c r="N317" s="5"/>
      <c r="O317" s="33"/>
      <c r="P317" s="5"/>
      <c r="Q317" s="1"/>
      <c r="R317" s="31"/>
      <c r="S317" s="31"/>
      <c r="T317" s="31"/>
      <c r="U317" s="55" t="s">
        <v>2526</v>
      </c>
      <c r="V317" s="5"/>
      <c r="W317" s="40">
        <v>2</v>
      </c>
      <c r="X317" s="41" t="s">
        <v>1848</v>
      </c>
      <c r="Y317" s="42"/>
      <c r="Z317" s="35">
        <v>0</v>
      </c>
      <c r="AA317" s="31"/>
      <c r="AB317" s="5" t="s">
        <v>2527</v>
      </c>
      <c r="AC317" s="5" t="s">
        <v>52</v>
      </c>
      <c r="AD317" s="31" t="s">
        <v>259</v>
      </c>
      <c r="AE317" s="36" t="s">
        <v>2528</v>
      </c>
      <c r="AF317" s="31" t="s">
        <v>2529</v>
      </c>
      <c r="AG317" s="31"/>
      <c r="AH317" s="31"/>
      <c r="AI317" s="31"/>
      <c r="AJ317" s="31" t="s">
        <v>262</v>
      </c>
      <c r="AK317" s="31" t="s">
        <v>259</v>
      </c>
      <c r="AL317" s="31"/>
      <c r="AM317" s="31"/>
      <c r="AN317" s="31"/>
      <c r="AO317" s="31"/>
      <c r="AP317" s="31"/>
      <c r="AQ317" s="31"/>
      <c r="AR317" s="31"/>
      <c r="AS317" s="30">
        <v>108</v>
      </c>
      <c r="AT317" s="37"/>
      <c r="AU317" s="37"/>
      <c r="AV317" s="37"/>
      <c r="AW317" s="37"/>
      <c r="AX317" s="37"/>
      <c r="AY317" s="38"/>
      <c r="AZ317" s="38"/>
      <c r="BA317" s="38"/>
      <c r="BB317" s="39"/>
      <c r="BC317" s="37"/>
      <c r="BD317" s="37"/>
      <c r="BE317" s="5"/>
      <c r="BF317" s="5"/>
      <c r="BG317" s="55" t="s">
        <v>2530</v>
      </c>
      <c r="BH317" s="55"/>
      <c r="BI317" s="55" t="s">
        <v>2530</v>
      </c>
      <c r="BJ317" s="48"/>
      <c r="BK317" s="49">
        <v>1</v>
      </c>
    </row>
    <row x14ac:dyDescent="0.25" r="318" customHeight="1" ht="31.5">
      <c r="A318" s="30" t="s">
        <v>2531</v>
      </c>
      <c r="B318" s="31" t="s">
        <v>2532</v>
      </c>
      <c r="C318" s="31" t="s">
        <v>2533</v>
      </c>
      <c r="D318" s="31" t="s">
        <v>2534</v>
      </c>
      <c r="E318" s="31"/>
      <c r="F318" s="31" t="s">
        <v>226</v>
      </c>
      <c r="G318" s="5" t="s">
        <v>2525</v>
      </c>
      <c r="H318" s="31" t="s">
        <v>2535</v>
      </c>
      <c r="I318" s="32"/>
      <c r="J318" s="32"/>
      <c r="K318" s="31"/>
      <c r="L318" s="31"/>
      <c r="M318" s="31" t="s">
        <v>231</v>
      </c>
      <c r="N318" s="5"/>
      <c r="O318" s="33"/>
      <c r="P318" s="5"/>
      <c r="Q318" s="1"/>
      <c r="R318" s="31"/>
      <c r="S318" s="31"/>
      <c r="T318" s="31"/>
      <c r="U318" s="55" t="s">
        <v>2536</v>
      </c>
      <c r="V318" s="5"/>
      <c r="W318" s="40">
        <v>2</v>
      </c>
      <c r="X318" s="41" t="s">
        <v>1848</v>
      </c>
      <c r="Y318" s="42"/>
      <c r="Z318" s="35">
        <v>0</v>
      </c>
      <c r="AA318" s="31"/>
      <c r="AB318" s="5" t="s">
        <v>2537</v>
      </c>
      <c r="AC318" s="5" t="s">
        <v>52</v>
      </c>
      <c r="AD318" s="31" t="s">
        <v>259</v>
      </c>
      <c r="AE318" s="36" t="s">
        <v>2528</v>
      </c>
      <c r="AF318" s="31" t="s">
        <v>2538</v>
      </c>
      <c r="AG318" s="31"/>
      <c r="AH318" s="31"/>
      <c r="AI318" s="31"/>
      <c r="AJ318" s="31" t="s">
        <v>262</v>
      </c>
      <c r="AK318" s="31" t="s">
        <v>259</v>
      </c>
      <c r="AL318" s="31"/>
      <c r="AM318" s="31"/>
      <c r="AN318" s="31"/>
      <c r="AO318" s="31"/>
      <c r="AP318" s="31"/>
      <c r="AQ318" s="31"/>
      <c r="AR318" s="31"/>
      <c r="AS318" s="30">
        <v>109</v>
      </c>
      <c r="AT318" s="37"/>
      <c r="AU318" s="37"/>
      <c r="AV318" s="37"/>
      <c r="AW318" s="37"/>
      <c r="AX318" s="37"/>
      <c r="AY318" s="38"/>
      <c r="AZ318" s="38"/>
      <c r="BA318" s="38"/>
      <c r="BB318" s="39"/>
      <c r="BC318" s="37"/>
      <c r="BD318" s="37"/>
      <c r="BE318" s="5"/>
      <c r="BF318" s="5"/>
      <c r="BG318" s="55" t="s">
        <v>2539</v>
      </c>
      <c r="BH318" s="55"/>
      <c r="BI318" s="55" t="s">
        <v>2539</v>
      </c>
      <c r="BJ318" s="48"/>
      <c r="BK318" s="49">
        <v>1</v>
      </c>
    </row>
    <row x14ac:dyDescent="0.25" r="319" customHeight="1" ht="31.5">
      <c r="A319" s="30" t="s">
        <v>2540</v>
      </c>
      <c r="B319" s="31" t="s">
        <v>2541</v>
      </c>
      <c r="C319" s="31" t="s">
        <v>2542</v>
      </c>
      <c r="D319" s="31" t="s">
        <v>2543</v>
      </c>
      <c r="E319" s="31"/>
      <c r="F319" s="31" t="s">
        <v>226</v>
      </c>
      <c r="G319" s="5" t="s">
        <v>2525</v>
      </c>
      <c r="H319" s="31" t="s">
        <v>2544</v>
      </c>
      <c r="I319" s="32"/>
      <c r="J319" s="32"/>
      <c r="K319" s="5"/>
      <c r="L319" s="5"/>
      <c r="M319" s="5" t="s">
        <v>231</v>
      </c>
      <c r="N319" s="5"/>
      <c r="O319" s="33"/>
      <c r="P319" s="5"/>
      <c r="Q319" s="1"/>
      <c r="R319" s="31"/>
      <c r="S319" s="31"/>
      <c r="T319" s="31"/>
      <c r="U319" s="55" t="s">
        <v>2545</v>
      </c>
      <c r="V319" s="5"/>
      <c r="W319" s="40">
        <v>2</v>
      </c>
      <c r="X319" s="41" t="s">
        <v>1848</v>
      </c>
      <c r="Y319" s="42"/>
      <c r="Z319" s="35">
        <v>0</v>
      </c>
      <c r="AA319" s="31"/>
      <c r="AB319" s="5" t="s">
        <v>2546</v>
      </c>
      <c r="AC319" s="5" t="s">
        <v>52</v>
      </c>
      <c r="AD319" s="31" t="s">
        <v>259</v>
      </c>
      <c r="AE319" s="36" t="s">
        <v>2528</v>
      </c>
      <c r="AF319" s="31" t="s">
        <v>2547</v>
      </c>
      <c r="AG319" s="31"/>
      <c r="AH319" s="31"/>
      <c r="AI319" s="31"/>
      <c r="AJ319" s="31" t="s">
        <v>262</v>
      </c>
      <c r="AK319" s="31" t="s">
        <v>259</v>
      </c>
      <c r="AL319" s="31"/>
      <c r="AM319" s="31"/>
      <c r="AN319" s="31"/>
      <c r="AO319" s="31"/>
      <c r="AP319" s="31"/>
      <c r="AQ319" s="31"/>
      <c r="AR319" s="31"/>
      <c r="AS319" s="30">
        <v>110</v>
      </c>
      <c r="AT319" s="37"/>
      <c r="AU319" s="37"/>
      <c r="AV319" s="37"/>
      <c r="AW319" s="37"/>
      <c r="AX319" s="37"/>
      <c r="AY319" s="38"/>
      <c r="AZ319" s="38"/>
      <c r="BA319" s="38"/>
      <c r="BB319" s="39"/>
      <c r="BC319" s="37"/>
      <c r="BD319" s="37"/>
      <c r="BE319" s="5"/>
      <c r="BF319" s="5"/>
      <c r="BG319" s="55" t="s">
        <v>2548</v>
      </c>
      <c r="BH319" s="55"/>
      <c r="BI319" s="55" t="s">
        <v>2548</v>
      </c>
      <c r="BJ319" s="48"/>
      <c r="BK319" s="49">
        <v>1</v>
      </c>
    </row>
    <row x14ac:dyDescent="0.25" r="320" customHeight="1" ht="31.5">
      <c r="A320" s="30" t="s">
        <v>2549</v>
      </c>
      <c r="B320" s="31" t="s">
        <v>2550</v>
      </c>
      <c r="C320" s="31" t="s">
        <v>2551</v>
      </c>
      <c r="D320" s="31" t="s">
        <v>2552</v>
      </c>
      <c r="E320" s="31"/>
      <c r="F320" s="31" t="s">
        <v>226</v>
      </c>
      <c r="G320" s="5" t="s">
        <v>2525</v>
      </c>
      <c r="H320" s="31" t="s">
        <v>1440</v>
      </c>
      <c r="I320" s="32"/>
      <c r="J320" s="32"/>
      <c r="K320" s="5"/>
      <c r="L320" s="5"/>
      <c r="M320" s="5" t="s">
        <v>231</v>
      </c>
      <c r="N320" s="5"/>
      <c r="O320" s="33"/>
      <c r="P320" s="5"/>
      <c r="Q320" s="1"/>
      <c r="R320" s="31"/>
      <c r="S320" s="31"/>
      <c r="T320" s="31"/>
      <c r="U320" s="55" t="s">
        <v>2553</v>
      </c>
      <c r="V320" s="5"/>
      <c r="W320" s="40">
        <v>2</v>
      </c>
      <c r="X320" s="41" t="s">
        <v>1848</v>
      </c>
      <c r="Y320" s="42"/>
      <c r="Z320" s="35">
        <v>0</v>
      </c>
      <c r="AA320" s="31"/>
      <c r="AB320" s="5" t="s">
        <v>2554</v>
      </c>
      <c r="AC320" s="5" t="s">
        <v>52</v>
      </c>
      <c r="AD320" s="31" t="s">
        <v>259</v>
      </c>
      <c r="AE320" s="36" t="s">
        <v>2528</v>
      </c>
      <c r="AF320" s="31" t="s">
        <v>2555</v>
      </c>
      <c r="AG320" s="31"/>
      <c r="AH320" s="31"/>
      <c r="AI320" s="31"/>
      <c r="AJ320" s="31" t="s">
        <v>262</v>
      </c>
      <c r="AK320" s="31" t="s">
        <v>259</v>
      </c>
      <c r="AL320" s="31"/>
      <c r="AM320" s="31"/>
      <c r="AN320" s="31"/>
      <c r="AO320" s="31"/>
      <c r="AP320" s="31"/>
      <c r="AQ320" s="31"/>
      <c r="AR320" s="31"/>
      <c r="AS320" s="30">
        <v>111</v>
      </c>
      <c r="AT320" s="37"/>
      <c r="AU320" s="37"/>
      <c r="AV320" s="37"/>
      <c r="AW320" s="37"/>
      <c r="AX320" s="37"/>
      <c r="AY320" s="38"/>
      <c r="AZ320" s="38"/>
      <c r="BA320" s="38"/>
      <c r="BB320" s="39"/>
      <c r="BC320" s="37"/>
      <c r="BD320" s="37"/>
      <c r="BE320" s="5"/>
      <c r="BF320" s="5"/>
      <c r="BG320" s="55" t="s">
        <v>2556</v>
      </c>
      <c r="BH320" s="55"/>
      <c r="BI320" s="55" t="s">
        <v>2556</v>
      </c>
      <c r="BJ320" s="48"/>
      <c r="BK320" s="49">
        <v>1</v>
      </c>
    </row>
    <row x14ac:dyDescent="0.25" r="321" customHeight="1" ht="31.5">
      <c r="A321" s="30" t="s">
        <v>2557</v>
      </c>
      <c r="B321" s="31" t="s">
        <v>2558</v>
      </c>
      <c r="C321" s="31" t="s">
        <v>2559</v>
      </c>
      <c r="D321" s="31" t="s">
        <v>2560</v>
      </c>
      <c r="E321" s="31"/>
      <c r="F321" s="31" t="s">
        <v>282</v>
      </c>
      <c r="G321" s="5" t="s">
        <v>2525</v>
      </c>
      <c r="H321" s="31" t="s">
        <v>1550</v>
      </c>
      <c r="I321" s="32"/>
      <c r="J321" s="32"/>
      <c r="K321" s="5"/>
      <c r="L321" s="5"/>
      <c r="M321" s="5" t="s">
        <v>231</v>
      </c>
      <c r="N321" s="5"/>
      <c r="O321" s="33"/>
      <c r="P321" s="5"/>
      <c r="Q321" s="1"/>
      <c r="R321" s="31"/>
      <c r="S321" s="31"/>
      <c r="T321" s="31" t="s">
        <v>2561</v>
      </c>
      <c r="U321" s="31" t="s">
        <v>2562</v>
      </c>
      <c r="V321" s="5"/>
      <c r="W321" s="40">
        <v>2</v>
      </c>
      <c r="X321" s="41" t="s">
        <v>1848</v>
      </c>
      <c r="Y321" s="42" t="s">
        <v>288</v>
      </c>
      <c r="Z321" s="35">
        <v>0</v>
      </c>
      <c r="AA321" s="31"/>
      <c r="AB321" s="5" t="s">
        <v>2563</v>
      </c>
      <c r="AC321" s="5" t="s">
        <v>64</v>
      </c>
      <c r="AD321" s="31" t="s">
        <v>259</v>
      </c>
      <c r="AE321" s="36" t="s">
        <v>2564</v>
      </c>
      <c r="AF321" s="31" t="s">
        <v>2565</v>
      </c>
      <c r="AG321" s="31"/>
      <c r="AH321" s="31"/>
      <c r="AI321" s="31"/>
      <c r="AJ321" s="31" t="s">
        <v>262</v>
      </c>
      <c r="AK321" s="31" t="s">
        <v>259</v>
      </c>
      <c r="AL321" s="31"/>
      <c r="AM321" s="31"/>
      <c r="AN321" s="31"/>
      <c r="AO321" s="31"/>
      <c r="AP321" s="31"/>
      <c r="AQ321" s="31"/>
      <c r="AR321" s="31"/>
      <c r="AS321" s="30">
        <v>112</v>
      </c>
      <c r="AT321" s="37"/>
      <c r="AU321" s="37"/>
      <c r="AV321" s="37"/>
      <c r="AW321" s="37"/>
      <c r="AX321" s="37"/>
      <c r="AY321" s="38"/>
      <c r="AZ321" s="38"/>
      <c r="BA321" s="38"/>
      <c r="BB321" s="39"/>
      <c r="BC321" s="37"/>
      <c r="BD321" s="37"/>
      <c r="BE321" s="5"/>
      <c r="BF321" s="5"/>
      <c r="BG321" s="31" t="s">
        <v>2562</v>
      </c>
      <c r="BH321" s="31"/>
      <c r="BI321" s="31" t="s">
        <v>2562</v>
      </c>
      <c r="BJ321" s="48"/>
      <c r="BK321" s="49">
        <v>1</v>
      </c>
    </row>
    <row x14ac:dyDescent="0.25" r="322" customHeight="1" ht="31.5">
      <c r="A322" s="30" t="s">
        <v>2566</v>
      </c>
      <c r="B322" s="31" t="s">
        <v>2567</v>
      </c>
      <c r="C322" s="31" t="s">
        <v>2568</v>
      </c>
      <c r="D322" s="31" t="s">
        <v>2569</v>
      </c>
      <c r="E322" s="31"/>
      <c r="F322" s="31" t="s">
        <v>282</v>
      </c>
      <c r="G322" s="5" t="s">
        <v>2525</v>
      </c>
      <c r="H322" s="31" t="s">
        <v>1581</v>
      </c>
      <c r="I322" s="32"/>
      <c r="J322" s="32"/>
      <c r="K322" s="31"/>
      <c r="L322" s="31"/>
      <c r="M322" s="31" t="s">
        <v>231</v>
      </c>
      <c r="N322" s="5"/>
      <c r="O322" s="33"/>
      <c r="P322" s="5"/>
      <c r="Q322" s="1"/>
      <c r="R322" s="31"/>
      <c r="S322" s="31"/>
      <c r="T322" s="31" t="s">
        <v>2561</v>
      </c>
      <c r="U322" s="31" t="s">
        <v>2570</v>
      </c>
      <c r="V322" s="5"/>
      <c r="W322" s="40">
        <v>2</v>
      </c>
      <c r="X322" s="41" t="s">
        <v>1848</v>
      </c>
      <c r="Y322" s="42"/>
      <c r="Z322" s="35">
        <v>0</v>
      </c>
      <c r="AA322" s="31"/>
      <c r="AB322" s="5" t="s">
        <v>2571</v>
      </c>
      <c r="AC322" s="5" t="s">
        <v>64</v>
      </c>
      <c r="AD322" s="31" t="s">
        <v>259</v>
      </c>
      <c r="AE322" s="36" t="s">
        <v>2564</v>
      </c>
      <c r="AF322" s="31" t="s">
        <v>2572</v>
      </c>
      <c r="AG322" s="31"/>
      <c r="AH322" s="31"/>
      <c r="AI322" s="31"/>
      <c r="AJ322" s="31" t="s">
        <v>262</v>
      </c>
      <c r="AK322" s="31" t="s">
        <v>259</v>
      </c>
      <c r="AL322" s="31"/>
      <c r="AM322" s="31"/>
      <c r="AN322" s="31"/>
      <c r="AO322" s="31"/>
      <c r="AP322" s="31"/>
      <c r="AQ322" s="31"/>
      <c r="AR322" s="31"/>
      <c r="AS322" s="30">
        <v>113</v>
      </c>
      <c r="AT322" s="37"/>
      <c r="AU322" s="37"/>
      <c r="AV322" s="37"/>
      <c r="AW322" s="37"/>
      <c r="AX322" s="37"/>
      <c r="AY322" s="38"/>
      <c r="AZ322" s="38"/>
      <c r="BA322" s="38"/>
      <c r="BB322" s="39"/>
      <c r="BC322" s="37"/>
      <c r="BD322" s="37"/>
      <c r="BE322" s="5"/>
      <c r="BF322" s="5"/>
      <c r="BG322" s="31" t="s">
        <v>2570</v>
      </c>
      <c r="BH322" s="31"/>
      <c r="BI322" s="31" t="s">
        <v>2570</v>
      </c>
      <c r="BJ322" s="48"/>
      <c r="BK322" s="49">
        <v>1</v>
      </c>
    </row>
    <row x14ac:dyDescent="0.25" r="323" customHeight="1" ht="31.5">
      <c r="A323" s="30" t="s">
        <v>2573</v>
      </c>
      <c r="B323" s="31" t="s">
        <v>2574</v>
      </c>
      <c r="C323" s="31" t="s">
        <v>2575</v>
      </c>
      <c r="D323" s="31" t="s">
        <v>2576</v>
      </c>
      <c r="E323" s="31"/>
      <c r="F323" s="31" t="s">
        <v>282</v>
      </c>
      <c r="G323" s="5" t="s">
        <v>2525</v>
      </c>
      <c r="H323" s="31" t="s">
        <v>1626</v>
      </c>
      <c r="I323" s="32"/>
      <c r="J323" s="32"/>
      <c r="K323" s="5"/>
      <c r="L323" s="5"/>
      <c r="M323" s="5" t="s">
        <v>231</v>
      </c>
      <c r="N323" s="5"/>
      <c r="O323" s="33"/>
      <c r="P323" s="5"/>
      <c r="Q323" s="1"/>
      <c r="R323" s="31"/>
      <c r="S323" s="31"/>
      <c r="T323" s="31" t="s">
        <v>2561</v>
      </c>
      <c r="U323" s="31" t="s">
        <v>2577</v>
      </c>
      <c r="V323" s="5"/>
      <c r="W323" s="40">
        <v>2</v>
      </c>
      <c r="X323" s="41" t="s">
        <v>1848</v>
      </c>
      <c r="Y323" s="42"/>
      <c r="Z323" s="35">
        <v>0</v>
      </c>
      <c r="AA323" s="31"/>
      <c r="AB323" s="5" t="s">
        <v>2578</v>
      </c>
      <c r="AC323" s="5" t="s">
        <v>64</v>
      </c>
      <c r="AD323" s="31" t="s">
        <v>259</v>
      </c>
      <c r="AE323" s="36" t="s">
        <v>2564</v>
      </c>
      <c r="AF323" s="31" t="s">
        <v>2579</v>
      </c>
      <c r="AG323" s="31"/>
      <c r="AH323" s="31"/>
      <c r="AI323" s="31"/>
      <c r="AJ323" s="31" t="s">
        <v>262</v>
      </c>
      <c r="AK323" s="31" t="s">
        <v>259</v>
      </c>
      <c r="AL323" s="31"/>
      <c r="AM323" s="31"/>
      <c r="AN323" s="31"/>
      <c r="AO323" s="31"/>
      <c r="AP323" s="31"/>
      <c r="AQ323" s="31"/>
      <c r="AR323" s="31"/>
      <c r="AS323" s="30">
        <v>114</v>
      </c>
      <c r="AT323" s="37"/>
      <c r="AU323" s="37"/>
      <c r="AV323" s="37"/>
      <c r="AW323" s="37"/>
      <c r="AX323" s="37"/>
      <c r="AY323" s="38"/>
      <c r="AZ323" s="38"/>
      <c r="BA323" s="38"/>
      <c r="BB323" s="39"/>
      <c r="BC323" s="37"/>
      <c r="BD323" s="37"/>
      <c r="BE323" s="5"/>
      <c r="BF323" s="5"/>
      <c r="BG323" s="31" t="s">
        <v>2577</v>
      </c>
      <c r="BH323" s="31"/>
      <c r="BI323" s="31" t="s">
        <v>2577</v>
      </c>
      <c r="BJ323" s="48"/>
      <c r="BK323" s="49">
        <v>1</v>
      </c>
    </row>
    <row x14ac:dyDescent="0.25" r="324" customHeight="1" ht="31.5">
      <c r="A324" s="30" t="s">
        <v>2580</v>
      </c>
      <c r="B324" s="31" t="s">
        <v>2581</v>
      </c>
      <c r="C324" s="31" t="s">
        <v>2582</v>
      </c>
      <c r="D324" s="31" t="s">
        <v>2583</v>
      </c>
      <c r="E324" s="31"/>
      <c r="F324" s="31" t="s">
        <v>282</v>
      </c>
      <c r="G324" s="5" t="s">
        <v>2525</v>
      </c>
      <c r="H324" s="31" t="s">
        <v>2584</v>
      </c>
      <c r="I324" s="32"/>
      <c r="J324" s="32"/>
      <c r="K324" s="5"/>
      <c r="L324" s="5"/>
      <c r="M324" s="5" t="s">
        <v>231</v>
      </c>
      <c r="N324" s="5"/>
      <c r="O324" s="33"/>
      <c r="P324" s="5"/>
      <c r="Q324" s="1"/>
      <c r="R324" s="31"/>
      <c r="S324" s="31"/>
      <c r="T324" s="31" t="s">
        <v>2561</v>
      </c>
      <c r="U324" s="31" t="s">
        <v>2585</v>
      </c>
      <c r="V324" s="5"/>
      <c r="W324" s="40">
        <v>2</v>
      </c>
      <c r="X324" s="41" t="s">
        <v>1848</v>
      </c>
      <c r="Y324" s="42"/>
      <c r="Z324" s="35">
        <v>0</v>
      </c>
      <c r="AA324" s="31"/>
      <c r="AB324" s="5" t="s">
        <v>2586</v>
      </c>
      <c r="AC324" s="5" t="s">
        <v>64</v>
      </c>
      <c r="AD324" s="31" t="s">
        <v>259</v>
      </c>
      <c r="AE324" s="36" t="s">
        <v>2564</v>
      </c>
      <c r="AF324" s="31" t="s">
        <v>2587</v>
      </c>
      <c r="AG324" s="31"/>
      <c r="AH324" s="31"/>
      <c r="AI324" s="31"/>
      <c r="AJ324" s="31" t="s">
        <v>262</v>
      </c>
      <c r="AK324" s="31" t="s">
        <v>259</v>
      </c>
      <c r="AL324" s="31"/>
      <c r="AM324" s="31"/>
      <c r="AN324" s="31"/>
      <c r="AO324" s="31"/>
      <c r="AP324" s="31"/>
      <c r="AQ324" s="31"/>
      <c r="AR324" s="31"/>
      <c r="AS324" s="30">
        <v>115</v>
      </c>
      <c r="AT324" s="37"/>
      <c r="AU324" s="37"/>
      <c r="AV324" s="37"/>
      <c r="AW324" s="37"/>
      <c r="AX324" s="37"/>
      <c r="AY324" s="38"/>
      <c r="AZ324" s="38"/>
      <c r="BA324" s="38"/>
      <c r="BB324" s="39"/>
      <c r="BC324" s="37"/>
      <c r="BD324" s="37"/>
      <c r="BE324" s="169"/>
      <c r="BF324" s="244"/>
      <c r="BG324" s="31" t="s">
        <v>2585</v>
      </c>
      <c r="BH324" s="31"/>
      <c r="BI324" s="31" t="s">
        <v>2585</v>
      </c>
      <c r="BJ324" s="48"/>
      <c r="BK324" s="49">
        <v>1</v>
      </c>
    </row>
    <row x14ac:dyDescent="0.25" r="325" customHeight="1" ht="31.5">
      <c r="A325" s="30" t="s">
        <v>2588</v>
      </c>
      <c r="B325" s="31" t="s">
        <v>2589</v>
      </c>
      <c r="C325" s="31" t="s">
        <v>2590</v>
      </c>
      <c r="D325" s="31" t="s">
        <v>2591</v>
      </c>
      <c r="E325" s="31"/>
      <c r="F325" s="31" t="s">
        <v>282</v>
      </c>
      <c r="G325" s="5" t="s">
        <v>2525</v>
      </c>
      <c r="H325" s="31" t="s">
        <v>2592</v>
      </c>
      <c r="I325" s="32"/>
      <c r="J325" s="32"/>
      <c r="K325" s="31"/>
      <c r="L325" s="31"/>
      <c r="M325" s="31" t="s">
        <v>231</v>
      </c>
      <c r="N325" s="5"/>
      <c r="O325" s="33"/>
      <c r="P325" s="5"/>
      <c r="Q325" s="1"/>
      <c r="R325" s="31"/>
      <c r="S325" s="31"/>
      <c r="T325" s="31" t="s">
        <v>2561</v>
      </c>
      <c r="U325" s="31" t="s">
        <v>2593</v>
      </c>
      <c r="V325" s="5"/>
      <c r="W325" s="40">
        <v>2</v>
      </c>
      <c r="X325" s="41" t="s">
        <v>1848</v>
      </c>
      <c r="Y325" s="42"/>
      <c r="Z325" s="35">
        <v>0</v>
      </c>
      <c r="AA325" s="31"/>
      <c r="AB325" s="5" t="s">
        <v>2594</v>
      </c>
      <c r="AC325" s="5" t="s">
        <v>64</v>
      </c>
      <c r="AD325" s="31" t="s">
        <v>259</v>
      </c>
      <c r="AE325" s="36" t="s">
        <v>2564</v>
      </c>
      <c r="AF325" s="31" t="s">
        <v>2595</v>
      </c>
      <c r="AG325" s="31"/>
      <c r="AH325" s="31"/>
      <c r="AI325" s="31"/>
      <c r="AJ325" s="31" t="s">
        <v>262</v>
      </c>
      <c r="AK325" s="31" t="s">
        <v>259</v>
      </c>
      <c r="AL325" s="31"/>
      <c r="AM325" s="31"/>
      <c r="AN325" s="31"/>
      <c r="AO325" s="31"/>
      <c r="AP325" s="31"/>
      <c r="AQ325" s="31"/>
      <c r="AR325" s="31"/>
      <c r="AS325" s="30">
        <v>116</v>
      </c>
      <c r="AT325" s="37"/>
      <c r="AU325" s="37"/>
      <c r="AV325" s="37"/>
      <c r="AW325" s="37"/>
      <c r="AX325" s="37"/>
      <c r="AY325" s="38"/>
      <c r="AZ325" s="38"/>
      <c r="BA325" s="38"/>
      <c r="BB325" s="39"/>
      <c r="BC325" s="37"/>
      <c r="BD325" s="37"/>
      <c r="BE325" s="5"/>
      <c r="BF325" s="5"/>
      <c r="BG325" s="31" t="s">
        <v>2593</v>
      </c>
      <c r="BH325" s="31"/>
      <c r="BI325" s="31" t="s">
        <v>2593</v>
      </c>
      <c r="BJ325" s="48"/>
      <c r="BK325" s="49">
        <v>1</v>
      </c>
    </row>
    <row x14ac:dyDescent="0.25" r="326" customHeight="1" ht="31.5">
      <c r="A326" s="30" t="s">
        <v>2596</v>
      </c>
      <c r="B326" s="31" t="s">
        <v>2597</v>
      </c>
      <c r="C326" s="31" t="s">
        <v>2598</v>
      </c>
      <c r="D326" s="31" t="s">
        <v>2599</v>
      </c>
      <c r="E326" s="31"/>
      <c r="F326" s="31" t="s">
        <v>282</v>
      </c>
      <c r="G326" s="5" t="s">
        <v>2525</v>
      </c>
      <c r="H326" s="31" t="s">
        <v>2600</v>
      </c>
      <c r="I326" s="32"/>
      <c r="J326" s="32"/>
      <c r="K326" s="5"/>
      <c r="L326" s="5"/>
      <c r="M326" s="5" t="s">
        <v>231</v>
      </c>
      <c r="N326" s="5"/>
      <c r="O326" s="33"/>
      <c r="P326" s="5"/>
      <c r="Q326" s="1"/>
      <c r="R326" s="31"/>
      <c r="S326" s="31"/>
      <c r="T326" s="31" t="s">
        <v>2561</v>
      </c>
      <c r="U326" s="31" t="s">
        <v>2601</v>
      </c>
      <c r="V326" s="5"/>
      <c r="W326" s="40">
        <v>2</v>
      </c>
      <c r="X326" s="41" t="s">
        <v>1848</v>
      </c>
      <c r="Y326" s="42"/>
      <c r="Z326" s="35">
        <v>0</v>
      </c>
      <c r="AA326" s="31"/>
      <c r="AB326" s="5" t="s">
        <v>2602</v>
      </c>
      <c r="AC326" s="5" t="s">
        <v>64</v>
      </c>
      <c r="AD326" s="31" t="s">
        <v>259</v>
      </c>
      <c r="AE326" s="36" t="s">
        <v>2564</v>
      </c>
      <c r="AF326" s="31" t="s">
        <v>2603</v>
      </c>
      <c r="AG326" s="31"/>
      <c r="AH326" s="31"/>
      <c r="AI326" s="31"/>
      <c r="AJ326" s="31" t="s">
        <v>262</v>
      </c>
      <c r="AK326" s="31" t="s">
        <v>259</v>
      </c>
      <c r="AL326" s="31"/>
      <c r="AM326" s="31"/>
      <c r="AN326" s="31"/>
      <c r="AO326" s="31"/>
      <c r="AP326" s="31"/>
      <c r="AQ326" s="31"/>
      <c r="AR326" s="31"/>
      <c r="AS326" s="30">
        <v>117</v>
      </c>
      <c r="AT326" s="37"/>
      <c r="AU326" s="37"/>
      <c r="AV326" s="37"/>
      <c r="AW326" s="37"/>
      <c r="AX326" s="37"/>
      <c r="AY326" s="38"/>
      <c r="AZ326" s="38"/>
      <c r="BA326" s="38"/>
      <c r="BB326" s="39"/>
      <c r="BC326" s="37"/>
      <c r="BD326" s="37"/>
      <c r="BE326" s="5"/>
      <c r="BF326" s="5"/>
      <c r="BG326" s="31" t="s">
        <v>2601</v>
      </c>
      <c r="BH326" s="31"/>
      <c r="BI326" s="31" t="s">
        <v>2601</v>
      </c>
      <c r="BJ326" s="48"/>
      <c r="BK326" s="49">
        <v>1</v>
      </c>
    </row>
    <row x14ac:dyDescent="0.25" r="327" customHeight="1" ht="31.5">
      <c r="A327" s="30" t="s">
        <v>2604</v>
      </c>
      <c r="B327" s="31" t="s">
        <v>2605</v>
      </c>
      <c r="C327" s="31" t="s">
        <v>2606</v>
      </c>
      <c r="D327" s="31" t="s">
        <v>2607</v>
      </c>
      <c r="E327" s="31"/>
      <c r="F327" s="31" t="s">
        <v>226</v>
      </c>
      <c r="G327" s="5" t="s">
        <v>2525</v>
      </c>
      <c r="H327" s="31" t="s">
        <v>1592</v>
      </c>
      <c r="I327" s="32"/>
      <c r="J327" s="32"/>
      <c r="K327" s="31"/>
      <c r="L327" s="31"/>
      <c r="M327" s="31" t="s">
        <v>231</v>
      </c>
      <c r="N327" s="5"/>
      <c r="O327" s="33"/>
      <c r="P327" s="5"/>
      <c r="Q327" s="1" t="s">
        <v>233</v>
      </c>
      <c r="R327" s="31"/>
      <c r="S327" s="31"/>
      <c r="T327" s="31" t="s">
        <v>2608</v>
      </c>
      <c r="U327" s="31" t="s">
        <v>2606</v>
      </c>
      <c r="V327" s="5"/>
      <c r="W327" s="40">
        <v>2</v>
      </c>
      <c r="X327" s="41" t="s">
        <v>1848</v>
      </c>
      <c r="Y327" s="42"/>
      <c r="Z327" s="35">
        <v>0</v>
      </c>
      <c r="AA327" s="31"/>
      <c r="AB327" s="5" t="s">
        <v>2609</v>
      </c>
      <c r="AC327" s="5" t="s">
        <v>52</v>
      </c>
      <c r="AD327" s="31" t="s">
        <v>238</v>
      </c>
      <c r="AE327" s="36" t="s">
        <v>2610</v>
      </c>
      <c r="AF327" s="31" t="s">
        <v>2611</v>
      </c>
      <c r="AG327" s="31"/>
      <c r="AH327" s="31"/>
      <c r="AI327" s="31"/>
      <c r="AJ327" s="31" t="s">
        <v>241</v>
      </c>
      <c r="AK327" s="31" t="s">
        <v>238</v>
      </c>
      <c r="AL327" s="31"/>
      <c r="AM327" s="31"/>
      <c r="AN327" s="31"/>
      <c r="AO327" s="31"/>
      <c r="AP327" s="31"/>
      <c r="AQ327" s="31"/>
      <c r="AR327" s="31"/>
      <c r="AS327" s="30">
        <v>118</v>
      </c>
      <c r="AT327" s="37"/>
      <c r="AU327" s="37"/>
      <c r="AV327" s="37"/>
      <c r="AW327" s="37"/>
      <c r="AX327" s="37"/>
      <c r="AY327" s="38"/>
      <c r="AZ327" s="38"/>
      <c r="BA327" s="38"/>
      <c r="BB327" s="39"/>
      <c r="BC327" s="37"/>
      <c r="BD327" s="37"/>
      <c r="BE327" s="5"/>
      <c r="BF327" s="5"/>
      <c r="BG327" s="31" t="s">
        <v>2612</v>
      </c>
      <c r="BH327" s="31"/>
      <c r="BI327" s="31" t="s">
        <v>2612</v>
      </c>
      <c r="BJ327" s="48"/>
      <c r="BK327" s="49">
        <v>1</v>
      </c>
    </row>
    <row x14ac:dyDescent="0.25" r="328" customHeight="1" ht="31.5">
      <c r="A328" s="30" t="s">
        <v>2613</v>
      </c>
      <c r="B328" s="31" t="s">
        <v>2614</v>
      </c>
      <c r="C328" s="31" t="s">
        <v>2615</v>
      </c>
      <c r="D328" s="31" t="s">
        <v>2616</v>
      </c>
      <c r="E328" s="31"/>
      <c r="F328" s="31" t="s">
        <v>226</v>
      </c>
      <c r="G328" s="5" t="s">
        <v>2525</v>
      </c>
      <c r="H328" s="31" t="s">
        <v>1637</v>
      </c>
      <c r="I328" s="32"/>
      <c r="J328" s="32"/>
      <c r="K328" s="5"/>
      <c r="L328" s="5"/>
      <c r="M328" s="5" t="s">
        <v>231</v>
      </c>
      <c r="N328" s="5"/>
      <c r="O328" s="33"/>
      <c r="P328" s="5"/>
      <c r="Q328" s="1" t="s">
        <v>233</v>
      </c>
      <c r="R328" s="31"/>
      <c r="S328" s="31"/>
      <c r="T328" s="31" t="s">
        <v>2608</v>
      </c>
      <c r="U328" s="31" t="s">
        <v>2615</v>
      </c>
      <c r="V328" s="5"/>
      <c r="W328" s="40">
        <v>2</v>
      </c>
      <c r="X328" s="41" t="s">
        <v>1848</v>
      </c>
      <c r="Y328" s="42"/>
      <c r="Z328" s="35">
        <v>0</v>
      </c>
      <c r="AA328" s="31"/>
      <c r="AB328" s="5" t="s">
        <v>2617</v>
      </c>
      <c r="AC328" s="5" t="s">
        <v>52</v>
      </c>
      <c r="AD328" s="31" t="s">
        <v>238</v>
      </c>
      <c r="AE328" s="36" t="s">
        <v>2610</v>
      </c>
      <c r="AF328" s="31" t="s">
        <v>2618</v>
      </c>
      <c r="AG328" s="31"/>
      <c r="AH328" s="31"/>
      <c r="AI328" s="31"/>
      <c r="AJ328" s="31" t="s">
        <v>241</v>
      </c>
      <c r="AK328" s="31" t="s">
        <v>238</v>
      </c>
      <c r="AL328" s="31"/>
      <c r="AM328" s="31"/>
      <c r="AN328" s="31"/>
      <c r="AO328" s="31"/>
      <c r="AP328" s="31"/>
      <c r="AQ328" s="31"/>
      <c r="AR328" s="31"/>
      <c r="AS328" s="30">
        <v>119</v>
      </c>
      <c r="AT328" s="37"/>
      <c r="AU328" s="37"/>
      <c r="AV328" s="37"/>
      <c r="AW328" s="37"/>
      <c r="AX328" s="37"/>
      <c r="AY328" s="38"/>
      <c r="AZ328" s="38"/>
      <c r="BA328" s="38"/>
      <c r="BB328" s="39"/>
      <c r="BC328" s="37"/>
      <c r="BD328" s="37"/>
      <c r="BE328" s="5"/>
      <c r="BF328" s="5"/>
      <c r="BG328" s="31" t="s">
        <v>2619</v>
      </c>
      <c r="BH328" s="31"/>
      <c r="BI328" s="31" t="s">
        <v>2619</v>
      </c>
      <c r="BJ328" s="48"/>
      <c r="BK328" s="49">
        <v>1</v>
      </c>
    </row>
    <row x14ac:dyDescent="0.25" r="329" customHeight="1" ht="31.5">
      <c r="A329" s="30" t="s">
        <v>2620</v>
      </c>
      <c r="B329" s="31" t="s">
        <v>2621</v>
      </c>
      <c r="C329" s="31" t="s">
        <v>2622</v>
      </c>
      <c r="D329" s="31" t="s">
        <v>2623</v>
      </c>
      <c r="E329" s="31"/>
      <c r="F329" s="31" t="s">
        <v>226</v>
      </c>
      <c r="G329" s="5" t="s">
        <v>2525</v>
      </c>
      <c r="H329" s="31" t="s">
        <v>2624</v>
      </c>
      <c r="I329" s="32"/>
      <c r="J329" s="32"/>
      <c r="K329" s="5"/>
      <c r="L329" s="5"/>
      <c r="M329" s="5" t="s">
        <v>231</v>
      </c>
      <c r="N329" s="5"/>
      <c r="O329" s="33"/>
      <c r="P329" s="5"/>
      <c r="Q329" s="1" t="s">
        <v>233</v>
      </c>
      <c r="R329" s="31"/>
      <c r="S329" s="31"/>
      <c r="T329" s="31" t="s">
        <v>2608</v>
      </c>
      <c r="U329" s="31" t="s">
        <v>2622</v>
      </c>
      <c r="V329" s="5"/>
      <c r="W329" s="40">
        <v>2</v>
      </c>
      <c r="X329" s="41" t="s">
        <v>1848</v>
      </c>
      <c r="Y329" s="42"/>
      <c r="Z329" s="35">
        <v>0</v>
      </c>
      <c r="AA329" s="31"/>
      <c r="AB329" s="5" t="s">
        <v>2625</v>
      </c>
      <c r="AC329" s="5" t="s">
        <v>52</v>
      </c>
      <c r="AD329" s="31" t="s">
        <v>238</v>
      </c>
      <c r="AE329" s="36" t="s">
        <v>2610</v>
      </c>
      <c r="AF329" s="31" t="s">
        <v>2626</v>
      </c>
      <c r="AG329" s="31"/>
      <c r="AH329" s="31"/>
      <c r="AI329" s="31"/>
      <c r="AJ329" s="31" t="s">
        <v>241</v>
      </c>
      <c r="AK329" s="31" t="s">
        <v>238</v>
      </c>
      <c r="AL329" s="31"/>
      <c r="AM329" s="31"/>
      <c r="AN329" s="31"/>
      <c r="AO329" s="31"/>
      <c r="AP329" s="31"/>
      <c r="AQ329" s="31"/>
      <c r="AR329" s="31"/>
      <c r="AS329" s="30">
        <v>120</v>
      </c>
      <c r="AT329" s="37"/>
      <c r="AU329" s="37"/>
      <c r="AV329" s="37"/>
      <c r="AW329" s="37"/>
      <c r="AX329" s="37"/>
      <c r="AY329" s="38"/>
      <c r="AZ329" s="38"/>
      <c r="BA329" s="38"/>
      <c r="BB329" s="39"/>
      <c r="BC329" s="37"/>
      <c r="BD329" s="37"/>
      <c r="BE329" s="5"/>
      <c r="BF329" s="5"/>
      <c r="BG329" s="31" t="s">
        <v>2627</v>
      </c>
      <c r="BH329" s="31"/>
      <c r="BI329" s="31" t="s">
        <v>2627</v>
      </c>
      <c r="BJ329" s="48"/>
      <c r="BK329" s="49">
        <v>1</v>
      </c>
    </row>
    <row x14ac:dyDescent="0.25" r="330" customHeight="1" ht="31.5">
      <c r="A330" s="30" t="s">
        <v>2628</v>
      </c>
      <c r="B330" s="31" t="s">
        <v>2629</v>
      </c>
      <c r="C330" s="31" t="s">
        <v>2630</v>
      </c>
      <c r="D330" s="31" t="s">
        <v>2631</v>
      </c>
      <c r="E330" s="31"/>
      <c r="F330" s="31" t="s">
        <v>226</v>
      </c>
      <c r="G330" s="5" t="s">
        <v>2525</v>
      </c>
      <c r="H330" s="31" t="s">
        <v>2632</v>
      </c>
      <c r="I330" s="32"/>
      <c r="J330" s="32"/>
      <c r="K330" s="31"/>
      <c r="L330" s="31"/>
      <c r="M330" s="31" t="s">
        <v>231</v>
      </c>
      <c r="N330" s="5"/>
      <c r="O330" s="33"/>
      <c r="P330" s="5"/>
      <c r="Q330" s="1" t="s">
        <v>233</v>
      </c>
      <c r="R330" s="31"/>
      <c r="S330" s="31"/>
      <c r="T330" s="31" t="s">
        <v>2608</v>
      </c>
      <c r="U330" s="31" t="s">
        <v>2630</v>
      </c>
      <c r="V330" s="5"/>
      <c r="W330" s="40">
        <v>2</v>
      </c>
      <c r="X330" s="41" t="s">
        <v>1848</v>
      </c>
      <c r="Y330" s="42"/>
      <c r="Z330" s="35">
        <v>0</v>
      </c>
      <c r="AA330" s="31"/>
      <c r="AB330" s="5" t="s">
        <v>2633</v>
      </c>
      <c r="AC330" s="5" t="s">
        <v>52</v>
      </c>
      <c r="AD330" s="31" t="s">
        <v>238</v>
      </c>
      <c r="AE330" s="36" t="s">
        <v>2610</v>
      </c>
      <c r="AF330" s="31" t="s">
        <v>2634</v>
      </c>
      <c r="AG330" s="31"/>
      <c r="AH330" s="31"/>
      <c r="AI330" s="31"/>
      <c r="AJ330" s="31" t="s">
        <v>241</v>
      </c>
      <c r="AK330" s="31" t="s">
        <v>238</v>
      </c>
      <c r="AL330" s="31"/>
      <c r="AM330" s="31"/>
      <c r="AN330" s="31"/>
      <c r="AO330" s="31"/>
      <c r="AP330" s="31"/>
      <c r="AQ330" s="31"/>
      <c r="AR330" s="31"/>
      <c r="AS330" s="30">
        <v>121</v>
      </c>
      <c r="AT330" s="37"/>
      <c r="AU330" s="37"/>
      <c r="AV330" s="37"/>
      <c r="AW330" s="37"/>
      <c r="AX330" s="37"/>
      <c r="AY330" s="38"/>
      <c r="AZ330" s="38"/>
      <c r="BA330" s="38"/>
      <c r="BB330" s="39"/>
      <c r="BC330" s="37"/>
      <c r="BD330" s="37"/>
      <c r="BE330" s="5"/>
      <c r="BF330" s="5"/>
      <c r="BG330" s="31" t="s">
        <v>2635</v>
      </c>
      <c r="BH330" s="31"/>
      <c r="BI330" s="31" t="s">
        <v>2635</v>
      </c>
      <c r="BJ330" s="48"/>
      <c r="BK330" s="49">
        <v>1</v>
      </c>
    </row>
    <row x14ac:dyDescent="0.25" r="331" customHeight="1" ht="31.5">
      <c r="A331" s="30" t="s">
        <v>2636</v>
      </c>
      <c r="B331" s="31" t="s">
        <v>2637</v>
      </c>
      <c r="C331" s="31" t="s">
        <v>2638</v>
      </c>
      <c r="D331" s="31" t="s">
        <v>2639</v>
      </c>
      <c r="E331" s="31"/>
      <c r="F331" s="31" t="s">
        <v>226</v>
      </c>
      <c r="G331" s="5" t="s">
        <v>2525</v>
      </c>
      <c r="H331" s="31" t="s">
        <v>2640</v>
      </c>
      <c r="I331" s="32"/>
      <c r="J331" s="32"/>
      <c r="K331" s="5"/>
      <c r="L331" s="5"/>
      <c r="M331" s="5" t="s">
        <v>231</v>
      </c>
      <c r="N331" s="5"/>
      <c r="O331" s="33"/>
      <c r="P331" s="5"/>
      <c r="Q331" s="1" t="s">
        <v>233</v>
      </c>
      <c r="R331" s="31"/>
      <c r="S331" s="31"/>
      <c r="T331" s="31" t="s">
        <v>2608</v>
      </c>
      <c r="U331" s="31" t="s">
        <v>2638</v>
      </c>
      <c r="V331" s="5"/>
      <c r="W331" s="40">
        <v>2</v>
      </c>
      <c r="X331" s="41" t="s">
        <v>1848</v>
      </c>
      <c r="Y331" s="42"/>
      <c r="Z331" s="35">
        <v>0</v>
      </c>
      <c r="AA331" s="31"/>
      <c r="AB331" s="5" t="s">
        <v>2641</v>
      </c>
      <c r="AC331" s="5" t="s">
        <v>52</v>
      </c>
      <c r="AD331" s="31" t="s">
        <v>238</v>
      </c>
      <c r="AE331" s="36" t="s">
        <v>2610</v>
      </c>
      <c r="AF331" s="31" t="s">
        <v>2603</v>
      </c>
      <c r="AG331" s="31"/>
      <c r="AH331" s="31"/>
      <c r="AI331" s="31"/>
      <c r="AJ331" s="31" t="s">
        <v>241</v>
      </c>
      <c r="AK331" s="31" t="s">
        <v>238</v>
      </c>
      <c r="AL331" s="31"/>
      <c r="AM331" s="31"/>
      <c r="AN331" s="31"/>
      <c r="AO331" s="31"/>
      <c r="AP331" s="31"/>
      <c r="AQ331" s="31"/>
      <c r="AR331" s="31"/>
      <c r="AS331" s="30">
        <v>122</v>
      </c>
      <c r="AT331" s="37"/>
      <c r="AU331" s="37"/>
      <c r="AV331" s="37"/>
      <c r="AW331" s="37"/>
      <c r="AX331" s="37"/>
      <c r="AY331" s="38"/>
      <c r="AZ331" s="38"/>
      <c r="BA331" s="38"/>
      <c r="BB331" s="39"/>
      <c r="BC331" s="37"/>
      <c r="BD331" s="37"/>
      <c r="BE331" s="5"/>
      <c r="BF331" s="5"/>
      <c r="BG331" s="31" t="s">
        <v>2642</v>
      </c>
      <c r="BH331" s="31"/>
      <c r="BI331" s="31" t="s">
        <v>2642</v>
      </c>
      <c r="BJ331" s="48"/>
      <c r="BK331" s="49">
        <v>1</v>
      </c>
    </row>
    <row x14ac:dyDescent="0.25" r="332" customHeight="1" ht="31.5">
      <c r="A332" s="30" t="s">
        <v>2643</v>
      </c>
      <c r="B332" s="31" t="s">
        <v>2644</v>
      </c>
      <c r="C332" s="31" t="s">
        <v>2645</v>
      </c>
      <c r="D332" s="31" t="s">
        <v>2646</v>
      </c>
      <c r="E332" s="31"/>
      <c r="F332" s="31" t="s">
        <v>226</v>
      </c>
      <c r="G332" s="5" t="s">
        <v>2525</v>
      </c>
      <c r="H332" s="31" t="s">
        <v>1529</v>
      </c>
      <c r="I332" s="32"/>
      <c r="J332" s="32"/>
      <c r="K332" s="5"/>
      <c r="L332" s="5"/>
      <c r="M332" s="5" t="s">
        <v>231</v>
      </c>
      <c r="N332" s="5"/>
      <c r="O332" s="33"/>
      <c r="P332" s="5"/>
      <c r="Q332" s="1" t="s">
        <v>233</v>
      </c>
      <c r="R332" s="31"/>
      <c r="S332" s="31"/>
      <c r="T332" s="31" t="s">
        <v>2608</v>
      </c>
      <c r="U332" s="31" t="s">
        <v>2645</v>
      </c>
      <c r="V332" s="5"/>
      <c r="W332" s="34">
        <v>2</v>
      </c>
      <c r="X332" s="31" t="s">
        <v>1848</v>
      </c>
      <c r="Y332" s="5"/>
      <c r="Z332" s="35">
        <v>0</v>
      </c>
      <c r="AA332" s="31"/>
      <c r="AB332" s="5" t="s">
        <v>2647</v>
      </c>
      <c r="AC332" s="5" t="s">
        <v>52</v>
      </c>
      <c r="AD332" s="31" t="s">
        <v>238</v>
      </c>
      <c r="AE332" s="36" t="s">
        <v>2610</v>
      </c>
      <c r="AF332" s="31" t="s">
        <v>2648</v>
      </c>
      <c r="AG332" s="31"/>
      <c r="AH332" s="31"/>
      <c r="AI332" s="31"/>
      <c r="AJ332" s="31" t="s">
        <v>241</v>
      </c>
      <c r="AK332" s="31" t="s">
        <v>238</v>
      </c>
      <c r="AL332" s="31"/>
      <c r="AM332" s="31"/>
      <c r="AN332" s="31"/>
      <c r="AO332" s="31"/>
      <c r="AP332" s="31"/>
      <c r="AQ332" s="31"/>
      <c r="AR332" s="31"/>
      <c r="AS332" s="30">
        <v>123</v>
      </c>
      <c r="AT332" s="37"/>
      <c r="AU332" s="37"/>
      <c r="AV332" s="37"/>
      <c r="AW332" s="37"/>
      <c r="AX332" s="37"/>
      <c r="AY332" s="38"/>
      <c r="AZ332" s="38"/>
      <c r="BA332" s="38"/>
      <c r="BB332" s="39"/>
      <c r="BC332" s="37"/>
      <c r="BD332" s="37"/>
      <c r="BE332" s="5"/>
      <c r="BF332" s="5"/>
      <c r="BG332" s="31" t="s">
        <v>2649</v>
      </c>
      <c r="BH332" s="31"/>
      <c r="BI332" s="31" t="s">
        <v>2649</v>
      </c>
      <c r="BJ332" s="48"/>
      <c r="BK332" s="49">
        <v>1</v>
      </c>
    </row>
    <row x14ac:dyDescent="0.25" r="333" customHeight="1" ht="31.5">
      <c r="A333" s="90">
        <v>10061</v>
      </c>
      <c r="B333" s="92" t="s">
        <v>1865</v>
      </c>
      <c r="C333" s="52" t="s">
        <v>2650</v>
      </c>
      <c r="D333" s="52" t="s">
        <v>2651</v>
      </c>
      <c r="E333" s="92"/>
      <c r="F333" s="92" t="s">
        <v>226</v>
      </c>
      <c r="G333" s="92" t="s">
        <v>227</v>
      </c>
      <c r="H333" s="52" t="s">
        <v>2652</v>
      </c>
      <c r="I333" s="196" t="s">
        <v>229</v>
      </c>
      <c r="J333" s="196" t="s">
        <v>1929</v>
      </c>
      <c r="K333" s="92"/>
      <c r="L333" s="92"/>
      <c r="M333" s="92" t="s">
        <v>231</v>
      </c>
      <c r="N333" s="92" t="s">
        <v>250</v>
      </c>
      <c r="O333" s="93"/>
      <c r="P333" s="92"/>
      <c r="Q333" s="91" t="s">
        <v>233</v>
      </c>
      <c r="R333" s="52" t="s">
        <v>233</v>
      </c>
      <c r="S333" s="52"/>
      <c r="T333" s="52" t="s">
        <v>2653</v>
      </c>
      <c r="U333" s="52" t="s">
        <v>2654</v>
      </c>
      <c r="V333" s="92"/>
      <c r="W333" s="245">
        <v>1</v>
      </c>
      <c r="X333" s="52" t="s">
        <v>374</v>
      </c>
      <c r="Y333" s="92" t="s">
        <v>256</v>
      </c>
      <c r="Z333" s="95">
        <v>0</v>
      </c>
      <c r="AA333" s="52" t="s">
        <v>2655</v>
      </c>
      <c r="AB333" s="52" t="s">
        <v>534</v>
      </c>
      <c r="AC333" s="92" t="s">
        <v>52</v>
      </c>
      <c r="AD333" s="52" t="s">
        <v>238</v>
      </c>
      <c r="AE333" s="96" t="s">
        <v>1007</v>
      </c>
      <c r="AF333" s="52" t="s">
        <v>534</v>
      </c>
      <c r="AG333" s="52"/>
      <c r="AH333" s="52"/>
      <c r="AI333" s="52"/>
      <c r="AJ333" s="52" t="s">
        <v>241</v>
      </c>
      <c r="AK333" s="52" t="s">
        <v>238</v>
      </c>
      <c r="AL333" s="52"/>
      <c r="AM333" s="52"/>
      <c r="AN333" s="52"/>
      <c r="AO333" s="52"/>
      <c r="AP333" s="52"/>
      <c r="AQ333" s="52"/>
      <c r="AR333" s="52" t="s">
        <v>1705</v>
      </c>
      <c r="AS333" s="90">
        <v>82</v>
      </c>
      <c r="AT333" s="97"/>
      <c r="AU333" s="97">
        <v>15</v>
      </c>
      <c r="AV333" s="97"/>
      <c r="AW333" s="97"/>
      <c r="AX333" s="97"/>
      <c r="AY333" s="94"/>
      <c r="AZ333" s="94"/>
      <c r="BA333" s="94"/>
      <c r="BB333" s="46"/>
      <c r="BC333" s="97"/>
      <c r="BD333" s="97"/>
      <c r="BE333" s="92"/>
      <c r="BF333" s="92"/>
      <c r="BG333" s="52" t="s">
        <v>2656</v>
      </c>
      <c r="BH333" s="52" t="s">
        <v>2657</v>
      </c>
      <c r="BI333" s="52" t="s">
        <v>2658</v>
      </c>
      <c r="BJ333" s="48"/>
      <c r="BK333" s="49">
        <v>3</v>
      </c>
    </row>
    <row x14ac:dyDescent="0.25" r="334" customHeight="1" ht="31.5">
      <c r="A334" s="30" t="s">
        <v>2659</v>
      </c>
      <c r="B334" s="5" t="s">
        <v>2660</v>
      </c>
      <c r="C334" s="31" t="s">
        <v>2661</v>
      </c>
      <c r="D334" s="31" t="s">
        <v>2661</v>
      </c>
      <c r="E334" s="5"/>
      <c r="F334" s="5" t="s">
        <v>1953</v>
      </c>
      <c r="G334" s="5" t="s">
        <v>227</v>
      </c>
      <c r="H334" s="31" t="s">
        <v>2662</v>
      </c>
      <c r="I334" s="32"/>
      <c r="J334" s="32"/>
      <c r="K334" s="5"/>
      <c r="L334" s="5"/>
      <c r="M334" s="5" t="s">
        <v>231</v>
      </c>
      <c r="N334" s="5"/>
      <c r="O334" s="33"/>
      <c r="P334" s="5"/>
      <c r="Q334" s="1" t="s">
        <v>251</v>
      </c>
      <c r="R334" s="31"/>
      <c r="S334" s="31"/>
      <c r="T334" s="31"/>
      <c r="U334" s="31" t="s">
        <v>2663</v>
      </c>
      <c r="V334" s="5"/>
      <c r="W334" s="40">
        <v>0</v>
      </c>
      <c r="X334" s="41" t="s">
        <v>386</v>
      </c>
      <c r="Y334" s="42"/>
      <c r="Z334" s="38" t="s">
        <v>386</v>
      </c>
      <c r="AA334" s="31" t="s">
        <v>2661</v>
      </c>
      <c r="AB334" s="31" t="s">
        <v>2664</v>
      </c>
      <c r="AC334" s="5" t="s">
        <v>24</v>
      </c>
      <c r="AD334" s="5" t="s">
        <v>259</v>
      </c>
      <c r="AE334" s="169" t="s">
        <v>1957</v>
      </c>
      <c r="AF334" s="5" t="s">
        <v>292</v>
      </c>
      <c r="AG334" s="5" t="s">
        <v>35</v>
      </c>
      <c r="AH334" s="5"/>
      <c r="AI334" s="5"/>
      <c r="AJ334" s="5" t="s">
        <v>262</v>
      </c>
      <c r="AK334" s="5" t="s">
        <v>259</v>
      </c>
      <c r="AL334" s="5"/>
      <c r="AM334" s="5"/>
      <c r="AN334" s="5"/>
      <c r="AO334" s="5"/>
      <c r="AP334" s="5"/>
      <c r="AQ334" s="5"/>
      <c r="AR334" s="5"/>
      <c r="AS334" s="30">
        <v>126</v>
      </c>
      <c r="AT334" s="37"/>
      <c r="AU334" s="37">
        <v>17</v>
      </c>
      <c r="AV334" s="37"/>
      <c r="AW334" s="37"/>
      <c r="AX334" s="37"/>
      <c r="AY334" s="38"/>
      <c r="AZ334" s="38"/>
      <c r="BA334" s="38"/>
      <c r="BB334" s="46"/>
      <c r="BC334" s="37"/>
      <c r="BD334" s="37"/>
      <c r="BE334" s="5"/>
      <c r="BF334" s="5"/>
      <c r="BG334" s="31"/>
      <c r="BH334" s="31"/>
      <c r="BI334" s="31"/>
      <c r="BJ334" s="48"/>
      <c r="BK334" s="49"/>
    </row>
    <row x14ac:dyDescent="0.25" r="335" customHeight="1" ht="31.5">
      <c r="A335" s="30" t="s">
        <v>2665</v>
      </c>
      <c r="B335" s="31" t="s">
        <v>2666</v>
      </c>
      <c r="C335" s="31" t="s">
        <v>2667</v>
      </c>
      <c r="D335" s="31" t="s">
        <v>2668</v>
      </c>
      <c r="E335" s="31"/>
      <c r="F335" s="31" t="s">
        <v>226</v>
      </c>
      <c r="G335" s="31" t="s">
        <v>227</v>
      </c>
      <c r="H335" s="31" t="s">
        <v>2669</v>
      </c>
      <c r="I335" s="32" t="s">
        <v>229</v>
      </c>
      <c r="J335" s="31" t="s">
        <v>2669</v>
      </c>
      <c r="K335" s="31"/>
      <c r="L335" s="31"/>
      <c r="M335" s="31" t="s">
        <v>231</v>
      </c>
      <c r="N335" s="31" t="s">
        <v>232</v>
      </c>
      <c r="O335" s="53"/>
      <c r="P335" s="31"/>
      <c r="Q335" s="1" t="s">
        <v>251</v>
      </c>
      <c r="R335" s="31" t="s">
        <v>252</v>
      </c>
      <c r="S335" s="31"/>
      <c r="T335" s="31"/>
      <c r="U335" s="31" t="s">
        <v>2670</v>
      </c>
      <c r="V335" s="5"/>
      <c r="W335" s="34">
        <v>1</v>
      </c>
      <c r="X335" s="55" t="s">
        <v>273</v>
      </c>
      <c r="Y335" s="5" t="s">
        <v>256</v>
      </c>
      <c r="Z335" s="34">
        <v>0</v>
      </c>
      <c r="AA335" s="31" t="s">
        <v>2671</v>
      </c>
      <c r="AB335" s="31" t="s">
        <v>2672</v>
      </c>
      <c r="AC335" s="5" t="s">
        <v>52</v>
      </c>
      <c r="AD335" s="31" t="s">
        <v>259</v>
      </c>
      <c r="AE335" s="36" t="s">
        <v>2673</v>
      </c>
      <c r="AF335" s="31" t="s">
        <v>2674</v>
      </c>
      <c r="AG335" s="31"/>
      <c r="AH335" s="31"/>
      <c r="AI335" s="31"/>
      <c r="AJ335" s="31" t="s">
        <v>262</v>
      </c>
      <c r="AK335" s="31" t="s">
        <v>259</v>
      </c>
      <c r="AL335" s="31"/>
      <c r="AM335" s="31"/>
      <c r="AN335" s="31"/>
      <c r="AO335" s="31"/>
      <c r="AP335" s="31"/>
      <c r="AQ335" s="31"/>
      <c r="AR335" s="31" t="s">
        <v>263</v>
      </c>
      <c r="AS335" s="30"/>
      <c r="AT335" s="37"/>
      <c r="AU335" s="37">
        <v>8</v>
      </c>
      <c r="AV335" s="37"/>
      <c r="AW335" s="37"/>
      <c r="AX335" s="37"/>
      <c r="AY335" s="38"/>
      <c r="AZ335" s="38"/>
      <c r="BA335" s="38"/>
      <c r="BB335" s="39"/>
      <c r="BC335" s="37"/>
      <c r="BD335" s="37"/>
      <c r="BE335" s="5"/>
      <c r="BF335" s="5"/>
      <c r="BG335" s="47" t="s">
        <v>2675</v>
      </c>
      <c r="BH335" s="31"/>
      <c r="BI335" s="31" t="s">
        <v>2675</v>
      </c>
      <c r="BJ335" s="48"/>
      <c r="BK335" s="49">
        <v>1</v>
      </c>
    </row>
    <row x14ac:dyDescent="0.25" r="336" customHeight="1" ht="31.5">
      <c r="A336" s="30" t="s">
        <v>2676</v>
      </c>
      <c r="B336" s="31" t="s">
        <v>2677</v>
      </c>
      <c r="C336" s="31" t="s">
        <v>2678</v>
      </c>
      <c r="D336" s="31" t="s">
        <v>2679</v>
      </c>
      <c r="E336" s="31"/>
      <c r="F336" s="31" t="s">
        <v>226</v>
      </c>
      <c r="G336" s="31" t="s">
        <v>227</v>
      </c>
      <c r="H336" s="31" t="s">
        <v>2680</v>
      </c>
      <c r="I336" s="32" t="s">
        <v>386</v>
      </c>
      <c r="J336" s="32" t="s">
        <v>386</v>
      </c>
      <c r="K336" s="31"/>
      <c r="L336" s="31"/>
      <c r="M336" s="31" t="s">
        <v>231</v>
      </c>
      <c r="N336" s="31" t="s">
        <v>232</v>
      </c>
      <c r="O336" s="53"/>
      <c r="P336" s="31"/>
      <c r="Q336" s="1" t="s">
        <v>251</v>
      </c>
      <c r="R336" s="31" t="s">
        <v>252</v>
      </c>
      <c r="S336" s="31"/>
      <c r="T336" s="31"/>
      <c r="U336" s="31" t="s">
        <v>2681</v>
      </c>
      <c r="V336" s="5"/>
      <c r="W336" s="40">
        <v>1</v>
      </c>
      <c r="X336" s="55" t="s">
        <v>235</v>
      </c>
      <c r="Y336" s="42" t="s">
        <v>256</v>
      </c>
      <c r="Z336" s="34">
        <v>0</v>
      </c>
      <c r="AA336" s="31" t="s">
        <v>2682</v>
      </c>
      <c r="AB336" s="31" t="s">
        <v>2683</v>
      </c>
      <c r="AC336" s="5" t="s">
        <v>52</v>
      </c>
      <c r="AD336" s="31" t="s">
        <v>259</v>
      </c>
      <c r="AE336" s="36" t="s">
        <v>2673</v>
      </c>
      <c r="AF336" s="31" t="s">
        <v>2684</v>
      </c>
      <c r="AG336" s="31"/>
      <c r="AH336" s="31"/>
      <c r="AI336" s="31"/>
      <c r="AJ336" s="31" t="s">
        <v>262</v>
      </c>
      <c r="AK336" s="31" t="s">
        <v>259</v>
      </c>
      <c r="AL336" s="31"/>
      <c r="AM336" s="31"/>
      <c r="AN336" s="31"/>
      <c r="AO336" s="31"/>
      <c r="AP336" s="31"/>
      <c r="AQ336" s="31"/>
      <c r="AR336" s="31"/>
      <c r="AS336" s="30"/>
      <c r="AT336" s="37"/>
      <c r="AU336" s="37">
        <v>9</v>
      </c>
      <c r="AV336" s="37"/>
      <c r="AW336" s="37"/>
      <c r="AX336" s="37"/>
      <c r="AY336" s="38"/>
      <c r="AZ336" s="38"/>
      <c r="BA336" s="38"/>
      <c r="BB336" s="39"/>
      <c r="BC336" s="37"/>
      <c r="BD336" s="37"/>
      <c r="BE336" s="5"/>
      <c r="BF336" s="5"/>
      <c r="BG336" s="31" t="s">
        <v>2685</v>
      </c>
      <c r="BH336" s="31"/>
      <c r="BI336" s="31" t="s">
        <v>2685</v>
      </c>
      <c r="BJ336" s="48"/>
      <c r="BK336" s="49">
        <v>1</v>
      </c>
    </row>
    <row x14ac:dyDescent="0.25" r="337" customHeight="1" ht="31.5">
      <c r="A337" s="30">
        <v>10064</v>
      </c>
      <c r="B337" s="5" t="s">
        <v>2686</v>
      </c>
      <c r="C337" s="31" t="s">
        <v>2687</v>
      </c>
      <c r="D337" s="31" t="s">
        <v>2688</v>
      </c>
      <c r="E337" s="5"/>
      <c r="F337" s="5" t="s">
        <v>226</v>
      </c>
      <c r="G337" s="31" t="s">
        <v>227</v>
      </c>
      <c r="H337" s="31" t="s">
        <v>2689</v>
      </c>
      <c r="I337" s="32" t="s">
        <v>229</v>
      </c>
      <c r="J337" s="32" t="s">
        <v>2680</v>
      </c>
      <c r="K337" s="5"/>
      <c r="L337" s="5"/>
      <c r="M337" s="5" t="s">
        <v>231</v>
      </c>
      <c r="N337" s="5" t="s">
        <v>250</v>
      </c>
      <c r="O337" s="33"/>
      <c r="P337" s="5"/>
      <c r="Q337" s="1" t="s">
        <v>251</v>
      </c>
      <c r="R337" s="31" t="s">
        <v>252</v>
      </c>
      <c r="S337" s="31"/>
      <c r="T337" s="31"/>
      <c r="U337" s="31" t="s">
        <v>2690</v>
      </c>
      <c r="V337" s="5"/>
      <c r="W337" s="40">
        <v>1</v>
      </c>
      <c r="X337" s="41" t="s">
        <v>255</v>
      </c>
      <c r="Y337" s="42" t="s">
        <v>256</v>
      </c>
      <c r="Z337" s="34">
        <v>0</v>
      </c>
      <c r="AA337" s="31" t="s">
        <v>2691</v>
      </c>
      <c r="AB337" s="31" t="s">
        <v>2692</v>
      </c>
      <c r="AC337" s="5" t="s">
        <v>52</v>
      </c>
      <c r="AD337" s="31" t="s">
        <v>259</v>
      </c>
      <c r="AE337" s="36" t="s">
        <v>2673</v>
      </c>
      <c r="AF337" s="31" t="s">
        <v>2693</v>
      </c>
      <c r="AG337" s="31"/>
      <c r="AH337" s="31"/>
      <c r="AI337" s="31"/>
      <c r="AJ337" s="31" t="s">
        <v>262</v>
      </c>
      <c r="AK337" s="31" t="s">
        <v>259</v>
      </c>
      <c r="AL337" s="31"/>
      <c r="AM337" s="31"/>
      <c r="AN337" s="31"/>
      <c r="AO337" s="31"/>
      <c r="AP337" s="31"/>
      <c r="AQ337" s="31"/>
      <c r="AR337" s="31"/>
      <c r="AS337" s="30"/>
      <c r="AT337" s="37"/>
      <c r="AU337" s="37">
        <v>10</v>
      </c>
      <c r="AV337" s="37"/>
      <c r="AW337" s="37"/>
      <c r="AX337" s="37"/>
      <c r="AY337" s="38"/>
      <c r="AZ337" s="38"/>
      <c r="BA337" s="38"/>
      <c r="BB337" s="46"/>
      <c r="BC337" s="37"/>
      <c r="BD337" s="37"/>
      <c r="BE337" s="5"/>
      <c r="BF337" s="5"/>
      <c r="BG337" s="31" t="s">
        <v>2687</v>
      </c>
      <c r="BH337" s="31"/>
      <c r="BI337" s="31" t="s">
        <v>2687</v>
      </c>
      <c r="BJ337" s="48"/>
      <c r="BK337" s="49">
        <v>1</v>
      </c>
    </row>
    <row x14ac:dyDescent="0.25" r="338" customHeight="1" ht="31.5">
      <c r="A338" s="30"/>
      <c r="B338" s="5" t="s">
        <v>2694</v>
      </c>
      <c r="C338" s="31" t="s">
        <v>2695</v>
      </c>
      <c r="D338" s="31"/>
      <c r="E338" s="5"/>
      <c r="F338" s="5" t="s">
        <v>226</v>
      </c>
      <c r="G338" s="31" t="s">
        <v>227</v>
      </c>
      <c r="H338" s="31" t="s">
        <v>2696</v>
      </c>
      <c r="I338" s="32" t="s">
        <v>229</v>
      </c>
      <c r="J338" s="32" t="s">
        <v>1014</v>
      </c>
      <c r="K338" s="31"/>
      <c r="L338" s="31"/>
      <c r="M338" s="31" t="s">
        <v>231</v>
      </c>
      <c r="N338" s="5" t="s">
        <v>250</v>
      </c>
      <c r="O338" s="33"/>
      <c r="P338" s="5"/>
      <c r="Q338" s="1" t="s">
        <v>233</v>
      </c>
      <c r="R338" s="31"/>
      <c r="S338" s="31"/>
      <c r="T338" s="31"/>
      <c r="U338" s="31" t="s">
        <v>2697</v>
      </c>
      <c r="V338" s="5"/>
      <c r="W338" s="40">
        <v>1</v>
      </c>
      <c r="X338" s="41" t="s">
        <v>273</v>
      </c>
      <c r="Y338" s="42"/>
      <c r="Z338" s="35">
        <v>0</v>
      </c>
      <c r="AA338" s="31"/>
      <c r="AB338" s="31" t="s">
        <v>2698</v>
      </c>
      <c r="AC338" s="5" t="s">
        <v>52</v>
      </c>
      <c r="AD338" s="31" t="s">
        <v>238</v>
      </c>
      <c r="AE338" s="36" t="s">
        <v>1007</v>
      </c>
      <c r="AF338" s="31" t="s">
        <v>2699</v>
      </c>
      <c r="AG338" s="31"/>
      <c r="AH338" s="31"/>
      <c r="AI338" s="31"/>
      <c r="AJ338" s="31" t="s">
        <v>241</v>
      </c>
      <c r="AK338" s="31" t="s">
        <v>238</v>
      </c>
      <c r="AL338" s="31"/>
      <c r="AM338" s="31"/>
      <c r="AN338" s="31"/>
      <c r="AO338" s="31"/>
      <c r="AP338" s="31"/>
      <c r="AQ338" s="31"/>
      <c r="AR338" s="31"/>
      <c r="AS338" s="30"/>
      <c r="AT338" s="37"/>
      <c r="AU338" s="37">
        <v>16</v>
      </c>
      <c r="AV338" s="37"/>
      <c r="AW338" s="37"/>
      <c r="AX338" s="37"/>
      <c r="AY338" s="38"/>
      <c r="AZ338" s="38"/>
      <c r="BA338" s="38"/>
      <c r="BB338" s="46"/>
      <c r="BC338" s="37"/>
      <c r="BD338" s="37"/>
      <c r="BE338" s="5"/>
      <c r="BF338" s="5"/>
      <c r="BG338" s="31" t="s">
        <v>2700</v>
      </c>
      <c r="BH338" s="31"/>
      <c r="BI338" s="31" t="s">
        <v>2700</v>
      </c>
      <c r="BJ338" s="48"/>
      <c r="BK338" s="49">
        <v>1</v>
      </c>
    </row>
    <row x14ac:dyDescent="0.25" r="339" customHeight="1" ht="31.5">
      <c r="A339" s="30" t="s">
        <v>2701</v>
      </c>
      <c r="B339" s="5" t="s">
        <v>2702</v>
      </c>
      <c r="C339" s="31" t="s">
        <v>2703</v>
      </c>
      <c r="D339" s="31" t="s">
        <v>2704</v>
      </c>
      <c r="E339" s="5"/>
      <c r="F339" s="5" t="s">
        <v>226</v>
      </c>
      <c r="G339" s="31" t="s">
        <v>227</v>
      </c>
      <c r="H339" s="31" t="s">
        <v>2705</v>
      </c>
      <c r="I339" s="32" t="s">
        <v>229</v>
      </c>
      <c r="J339" s="32" t="s">
        <v>1014</v>
      </c>
      <c r="K339" s="5"/>
      <c r="L339" s="5"/>
      <c r="M339" s="5" t="s">
        <v>231</v>
      </c>
      <c r="N339" s="5" t="s">
        <v>250</v>
      </c>
      <c r="O339" s="33"/>
      <c r="P339" s="5"/>
      <c r="Q339" s="1" t="s">
        <v>233</v>
      </c>
      <c r="R339" s="31"/>
      <c r="S339" s="31"/>
      <c r="T339" s="31" t="s">
        <v>1004</v>
      </c>
      <c r="U339" s="31" t="s">
        <v>1005</v>
      </c>
      <c r="V339" s="5"/>
      <c r="W339" s="40">
        <v>1</v>
      </c>
      <c r="X339" s="41" t="s">
        <v>255</v>
      </c>
      <c r="Y339" s="42" t="s">
        <v>256</v>
      </c>
      <c r="Z339" s="35">
        <v>0</v>
      </c>
      <c r="AA339" s="31"/>
      <c r="AB339" s="31" t="s">
        <v>2706</v>
      </c>
      <c r="AC339" s="5" t="s">
        <v>52</v>
      </c>
      <c r="AD339" s="31" t="s">
        <v>238</v>
      </c>
      <c r="AE339" s="36" t="s">
        <v>1007</v>
      </c>
      <c r="AF339" s="31" t="s">
        <v>2707</v>
      </c>
      <c r="AG339" s="31"/>
      <c r="AH339" s="31"/>
      <c r="AI339" s="31"/>
      <c r="AJ339" s="31" t="s">
        <v>241</v>
      </c>
      <c r="AK339" s="31" t="s">
        <v>238</v>
      </c>
      <c r="AL339" s="31"/>
      <c r="AM339" s="31"/>
      <c r="AN339" s="31"/>
      <c r="AO339" s="31"/>
      <c r="AP339" s="31"/>
      <c r="AQ339" s="31"/>
      <c r="AR339" s="31"/>
      <c r="AS339" s="30"/>
      <c r="AT339" s="37"/>
      <c r="AU339" s="37">
        <v>14</v>
      </c>
      <c r="AV339" s="37"/>
      <c r="AW339" s="37"/>
      <c r="AX339" s="37"/>
      <c r="AY339" s="38"/>
      <c r="AZ339" s="38"/>
      <c r="BA339" s="38"/>
      <c r="BB339" s="46"/>
      <c r="BC339" s="37"/>
      <c r="BD339" s="37"/>
      <c r="BE339" s="5"/>
      <c r="BF339" s="5"/>
      <c r="BG339" s="31" t="s">
        <v>1873</v>
      </c>
      <c r="BH339" s="31"/>
      <c r="BI339" s="31" t="s">
        <v>1873</v>
      </c>
      <c r="BJ339" s="48"/>
      <c r="BK339" s="49">
        <v>1</v>
      </c>
    </row>
    <row x14ac:dyDescent="0.25" r="340" customHeight="1" ht="31.5">
      <c r="A340" s="30" t="s">
        <v>2708</v>
      </c>
      <c r="B340" s="5" t="s">
        <v>2709</v>
      </c>
      <c r="C340" s="31" t="s">
        <v>2308</v>
      </c>
      <c r="D340" s="31" t="s">
        <v>2309</v>
      </c>
      <c r="E340" s="5"/>
      <c r="F340" s="5" t="s">
        <v>282</v>
      </c>
      <c r="G340" s="31" t="s">
        <v>2710</v>
      </c>
      <c r="H340" s="31" t="s">
        <v>2711</v>
      </c>
      <c r="I340" s="32"/>
      <c r="J340" s="32"/>
      <c r="K340" s="5"/>
      <c r="L340" s="5"/>
      <c r="M340" s="5" t="s">
        <v>231</v>
      </c>
      <c r="N340" s="5" t="s">
        <v>250</v>
      </c>
      <c r="O340" s="33"/>
      <c r="P340" s="5"/>
      <c r="Q340" s="1"/>
      <c r="R340" s="31"/>
      <c r="S340" s="31"/>
      <c r="T340" s="31"/>
      <c r="U340" s="31" t="s">
        <v>2308</v>
      </c>
      <c r="V340" s="5"/>
      <c r="W340" s="34">
        <v>1</v>
      </c>
      <c r="X340" s="31" t="s">
        <v>1848</v>
      </c>
      <c r="Y340" s="5"/>
      <c r="Z340" s="35">
        <v>0</v>
      </c>
      <c r="AA340" s="31" t="s">
        <v>2712</v>
      </c>
      <c r="AB340" s="31" t="s">
        <v>2713</v>
      </c>
      <c r="AC340" s="5" t="s">
        <v>64</v>
      </c>
      <c r="AD340" s="31" t="s">
        <v>259</v>
      </c>
      <c r="AE340" s="36" t="s">
        <v>2714</v>
      </c>
      <c r="AF340" s="31" t="s">
        <v>2713</v>
      </c>
      <c r="AG340" s="31"/>
      <c r="AH340" s="31"/>
      <c r="AI340" s="31"/>
      <c r="AJ340" s="31" t="s">
        <v>262</v>
      </c>
      <c r="AK340" s="31" t="s">
        <v>259</v>
      </c>
      <c r="AL340" s="31"/>
      <c r="AM340" s="31"/>
      <c r="AN340" s="31"/>
      <c r="AO340" s="31"/>
      <c r="AP340" s="31"/>
      <c r="AQ340" s="31"/>
      <c r="AR340" s="31"/>
      <c r="AS340" s="30">
        <v>62</v>
      </c>
      <c r="AT340" s="37"/>
      <c r="AU340" s="37"/>
      <c r="AV340" s="37"/>
      <c r="AW340" s="37"/>
      <c r="AX340" s="37"/>
      <c r="AY340" s="38"/>
      <c r="AZ340" s="38"/>
      <c r="BA340" s="38"/>
      <c r="BB340" s="46"/>
      <c r="BC340" s="37"/>
      <c r="BD340" s="37"/>
      <c r="BE340" s="5"/>
      <c r="BF340" s="5"/>
      <c r="BG340" s="31" t="s">
        <v>2308</v>
      </c>
      <c r="BH340" s="31"/>
      <c r="BI340" s="31" t="s">
        <v>2308</v>
      </c>
      <c r="BJ340" s="48"/>
      <c r="BK340" s="49">
        <v>1</v>
      </c>
    </row>
    <row x14ac:dyDescent="0.25" r="341" customHeight="1" ht="31.5">
      <c r="A341" s="30" t="s">
        <v>2715</v>
      </c>
      <c r="B341" s="5" t="s">
        <v>2716</v>
      </c>
      <c r="C341" s="31" t="s">
        <v>2717</v>
      </c>
      <c r="D341" s="31" t="s">
        <v>2718</v>
      </c>
      <c r="E341" s="5"/>
      <c r="F341" s="5" t="s">
        <v>226</v>
      </c>
      <c r="G341" s="31" t="s">
        <v>2710</v>
      </c>
      <c r="H341" s="31" t="s">
        <v>2719</v>
      </c>
      <c r="I341" s="32"/>
      <c r="J341" s="32"/>
      <c r="K341" s="5"/>
      <c r="L341" s="5"/>
      <c r="M341" s="5" t="s">
        <v>231</v>
      </c>
      <c r="N341" s="5" t="s">
        <v>250</v>
      </c>
      <c r="O341" s="33"/>
      <c r="P341" s="5"/>
      <c r="Q341" s="1" t="s">
        <v>251</v>
      </c>
      <c r="R341" s="31" t="s">
        <v>252</v>
      </c>
      <c r="S341" s="31"/>
      <c r="T341" s="31"/>
      <c r="U341" s="31" t="s">
        <v>2720</v>
      </c>
      <c r="V341" s="5"/>
      <c r="W341" s="34">
        <v>1</v>
      </c>
      <c r="X341" s="31" t="s">
        <v>1848</v>
      </c>
      <c r="Y341" s="5" t="s">
        <v>288</v>
      </c>
      <c r="Z341" s="35">
        <v>0</v>
      </c>
      <c r="AA341" s="31"/>
      <c r="AB341" s="31" t="s">
        <v>2721</v>
      </c>
      <c r="AC341" s="5" t="s">
        <v>52</v>
      </c>
      <c r="AD341" s="31" t="s">
        <v>238</v>
      </c>
      <c r="AE341" s="36" t="s">
        <v>1851</v>
      </c>
      <c r="AF341" s="31" t="s">
        <v>2722</v>
      </c>
      <c r="AG341" s="31"/>
      <c r="AH341" s="31"/>
      <c r="AI341" s="31"/>
      <c r="AJ341" s="31" t="s">
        <v>241</v>
      </c>
      <c r="AK341" s="31" t="s">
        <v>238</v>
      </c>
      <c r="AL341" s="31"/>
      <c r="AM341" s="31"/>
      <c r="AN341" s="31"/>
      <c r="AO341" s="31"/>
      <c r="AP341" s="31"/>
      <c r="AQ341" s="31"/>
      <c r="AR341" s="31"/>
      <c r="AS341" s="30">
        <v>63</v>
      </c>
      <c r="AT341" s="37"/>
      <c r="AU341" s="37"/>
      <c r="AV341" s="37"/>
      <c r="AW341" s="37"/>
      <c r="AX341" s="37"/>
      <c r="AY341" s="38"/>
      <c r="AZ341" s="38"/>
      <c r="BA341" s="38"/>
      <c r="BB341" s="46"/>
      <c r="BC341" s="37"/>
      <c r="BD341" s="37"/>
      <c r="BE341" s="5"/>
      <c r="BF341" s="5"/>
      <c r="BG341" s="31" t="s">
        <v>2720</v>
      </c>
      <c r="BH341" s="31"/>
      <c r="BI341" s="31" t="s">
        <v>2720</v>
      </c>
      <c r="BJ341" s="48"/>
      <c r="BK341" s="49">
        <v>1</v>
      </c>
    </row>
    <row x14ac:dyDescent="0.25" r="342" customHeight="1" ht="31.5">
      <c r="A342" s="30" t="s">
        <v>2723</v>
      </c>
      <c r="B342" s="31" t="s">
        <v>2724</v>
      </c>
      <c r="C342" s="31" t="s">
        <v>2725</v>
      </c>
      <c r="D342" s="31" t="s">
        <v>2726</v>
      </c>
      <c r="E342" s="31"/>
      <c r="F342" s="31" t="s">
        <v>226</v>
      </c>
      <c r="G342" s="31" t="s">
        <v>2710</v>
      </c>
      <c r="H342" s="31" t="s">
        <v>2727</v>
      </c>
      <c r="I342" s="32"/>
      <c r="J342" s="32"/>
      <c r="K342" s="5"/>
      <c r="L342" s="5"/>
      <c r="M342" s="5" t="s">
        <v>231</v>
      </c>
      <c r="N342" s="5" t="s">
        <v>579</v>
      </c>
      <c r="O342" s="33"/>
      <c r="P342" s="5"/>
      <c r="Q342" s="1" t="s">
        <v>233</v>
      </c>
      <c r="R342" s="31" t="s">
        <v>233</v>
      </c>
      <c r="S342" s="31"/>
      <c r="T342" s="31"/>
      <c r="U342" s="31" t="s">
        <v>2728</v>
      </c>
      <c r="V342" s="5"/>
      <c r="W342" s="34">
        <v>1</v>
      </c>
      <c r="X342" s="41" t="s">
        <v>1848</v>
      </c>
      <c r="Y342" s="5" t="s">
        <v>256</v>
      </c>
      <c r="Z342" s="35">
        <v>0</v>
      </c>
      <c r="AA342" s="31" t="s">
        <v>2729</v>
      </c>
      <c r="AB342" s="31" t="s">
        <v>2730</v>
      </c>
      <c r="AC342" s="5" t="s">
        <v>52</v>
      </c>
      <c r="AD342" s="31" t="s">
        <v>259</v>
      </c>
      <c r="AE342" s="36" t="s">
        <v>2714</v>
      </c>
      <c r="AF342" s="31" t="s">
        <v>2730</v>
      </c>
      <c r="AG342" s="31"/>
      <c r="AH342" s="31"/>
      <c r="AI342" s="31"/>
      <c r="AJ342" s="31" t="s">
        <v>262</v>
      </c>
      <c r="AK342" s="31" t="s">
        <v>259</v>
      </c>
      <c r="AL342" s="31"/>
      <c r="AM342" s="31"/>
      <c r="AN342" s="31"/>
      <c r="AO342" s="31"/>
      <c r="AP342" s="31"/>
      <c r="AQ342" s="31"/>
      <c r="AR342" s="31"/>
      <c r="AS342" s="30">
        <v>79</v>
      </c>
      <c r="AT342" s="37"/>
      <c r="AU342" s="37"/>
      <c r="AV342" s="37"/>
      <c r="AW342" s="37"/>
      <c r="AX342" s="37"/>
      <c r="AY342" s="38"/>
      <c r="AZ342" s="38"/>
      <c r="BA342" s="38"/>
      <c r="BB342" s="39"/>
      <c r="BC342" s="37"/>
      <c r="BD342" s="37"/>
      <c r="BE342" s="5"/>
      <c r="BF342" s="5"/>
      <c r="BG342" s="31" t="s">
        <v>2731</v>
      </c>
      <c r="BH342" s="31"/>
      <c r="BI342" s="31" t="s">
        <v>2731</v>
      </c>
      <c r="BJ342" s="48"/>
      <c r="BK342" s="49">
        <v>1</v>
      </c>
    </row>
    <row x14ac:dyDescent="0.25" r="343" customHeight="1" ht="31.5">
      <c r="A343" s="30" t="s">
        <v>2732</v>
      </c>
      <c r="B343" s="31" t="s">
        <v>2733</v>
      </c>
      <c r="C343" s="31" t="s">
        <v>2734</v>
      </c>
      <c r="D343" s="31" t="s">
        <v>2735</v>
      </c>
      <c r="E343" s="31"/>
      <c r="F343" s="31" t="s">
        <v>226</v>
      </c>
      <c r="G343" s="31" t="s">
        <v>2710</v>
      </c>
      <c r="H343" s="31" t="s">
        <v>1499</v>
      </c>
      <c r="I343" s="32"/>
      <c r="J343" s="32"/>
      <c r="K343" s="5"/>
      <c r="L343" s="5"/>
      <c r="M343" s="5" t="s">
        <v>231</v>
      </c>
      <c r="N343" s="5" t="s">
        <v>579</v>
      </c>
      <c r="O343" s="33"/>
      <c r="P343" s="5"/>
      <c r="Q343" s="1" t="s">
        <v>251</v>
      </c>
      <c r="R343" s="31" t="s">
        <v>286</v>
      </c>
      <c r="S343" s="31"/>
      <c r="T343" s="31" t="s">
        <v>2736</v>
      </c>
      <c r="U343" s="31" t="s">
        <v>2737</v>
      </c>
      <c r="V343" s="5"/>
      <c r="W343" s="34">
        <v>1</v>
      </c>
      <c r="X343" s="31" t="s">
        <v>1848</v>
      </c>
      <c r="Y343" s="5" t="s">
        <v>256</v>
      </c>
      <c r="Z343" s="34">
        <v>0</v>
      </c>
      <c r="AA343" s="31" t="s">
        <v>2738</v>
      </c>
      <c r="AB343" s="31" t="s">
        <v>2739</v>
      </c>
      <c r="AC343" s="5" t="s">
        <v>52</v>
      </c>
      <c r="AD343" s="5" t="s">
        <v>259</v>
      </c>
      <c r="AE343" s="169" t="s">
        <v>2714</v>
      </c>
      <c r="AF343" s="5" t="s">
        <v>2740</v>
      </c>
      <c r="AG343" s="5"/>
      <c r="AH343" s="5"/>
      <c r="AI343" s="5"/>
      <c r="AJ343" s="5" t="s">
        <v>262</v>
      </c>
      <c r="AK343" s="5" t="s">
        <v>259</v>
      </c>
      <c r="AL343" s="5"/>
      <c r="AM343" s="5"/>
      <c r="AN343" s="5"/>
      <c r="AO343" s="5"/>
      <c r="AP343" s="5"/>
      <c r="AQ343" s="5"/>
      <c r="AR343" s="5"/>
      <c r="AS343" s="30"/>
      <c r="AT343" s="37"/>
      <c r="AU343" s="37"/>
      <c r="AV343" s="37"/>
      <c r="AW343" s="37"/>
      <c r="AX343" s="37"/>
      <c r="AY343" s="38"/>
      <c r="AZ343" s="38"/>
      <c r="BA343" s="38"/>
      <c r="BB343" s="39"/>
      <c r="BC343" s="37"/>
      <c r="BD343" s="37"/>
      <c r="BE343" s="5"/>
      <c r="BF343" s="5"/>
      <c r="BG343" s="31" t="s">
        <v>2741</v>
      </c>
      <c r="BH343" s="31"/>
      <c r="BI343" s="31" t="s">
        <v>2741</v>
      </c>
      <c r="BJ343" s="48"/>
      <c r="BK343" s="49">
        <v>1</v>
      </c>
    </row>
    <row x14ac:dyDescent="0.25" r="344" customHeight="1" ht="31.5">
      <c r="A344" s="30" t="s">
        <v>2742</v>
      </c>
      <c r="B344" s="5" t="s">
        <v>2743</v>
      </c>
      <c r="C344" s="31" t="s">
        <v>2744</v>
      </c>
      <c r="D344" s="31" t="s">
        <v>2745</v>
      </c>
      <c r="E344" s="5"/>
      <c r="F344" s="5" t="s">
        <v>226</v>
      </c>
      <c r="G344" s="5" t="s">
        <v>1030</v>
      </c>
      <c r="H344" s="107" t="s">
        <v>2746</v>
      </c>
      <c r="I344" s="32"/>
      <c r="J344" s="32"/>
      <c r="K344" s="5"/>
      <c r="L344" s="5"/>
      <c r="M344" s="5" t="s">
        <v>231</v>
      </c>
      <c r="N344" s="5" t="s">
        <v>250</v>
      </c>
      <c r="O344" s="33"/>
      <c r="P344" s="5"/>
      <c r="Q344" s="1"/>
      <c r="R344" s="31"/>
      <c r="S344" s="31"/>
      <c r="T344" s="31"/>
      <c r="U344" s="55" t="s">
        <v>2747</v>
      </c>
      <c r="V344" s="31" t="s">
        <v>2748</v>
      </c>
      <c r="W344" s="40">
        <v>1</v>
      </c>
      <c r="X344" s="41" t="s">
        <v>1848</v>
      </c>
      <c r="Y344" s="42"/>
      <c r="Z344" s="35">
        <v>0</v>
      </c>
      <c r="AA344" s="31"/>
      <c r="AB344" s="31" t="s">
        <v>2749</v>
      </c>
      <c r="AC344" s="5" t="s">
        <v>52</v>
      </c>
      <c r="AD344" s="5" t="s">
        <v>238</v>
      </c>
      <c r="AE344" s="36" t="s">
        <v>1851</v>
      </c>
      <c r="AF344" s="31" t="s">
        <v>2749</v>
      </c>
      <c r="AG344" s="31"/>
      <c r="AH344" s="31"/>
      <c r="AI344" s="31"/>
      <c r="AJ344" s="31" t="s">
        <v>241</v>
      </c>
      <c r="AK344" s="31" t="s">
        <v>238</v>
      </c>
      <c r="AL344" s="31"/>
      <c r="AM344" s="31"/>
      <c r="AN344" s="31"/>
      <c r="AO344" s="31"/>
      <c r="AP344" s="31"/>
      <c r="AQ344" s="31"/>
      <c r="AR344" s="31"/>
      <c r="AS344" s="30">
        <v>65</v>
      </c>
      <c r="AT344" s="37"/>
      <c r="AU344" s="37"/>
      <c r="AV344" s="37"/>
      <c r="AW344" s="37"/>
      <c r="AX344" s="37"/>
      <c r="AY344" s="38"/>
      <c r="AZ344" s="38"/>
      <c r="BA344" s="38"/>
      <c r="BB344" s="46"/>
      <c r="BC344" s="37"/>
      <c r="BD344" s="37"/>
      <c r="BE344" s="5"/>
      <c r="BF344" s="5"/>
      <c r="BG344" s="47" t="s">
        <v>2750</v>
      </c>
      <c r="BH344" s="47"/>
      <c r="BI344" s="31" t="s">
        <v>2750</v>
      </c>
      <c r="BJ344" s="48"/>
      <c r="BK344" s="49">
        <v>1</v>
      </c>
    </row>
    <row x14ac:dyDescent="0.25" r="345" customHeight="1" ht="31.5">
      <c r="A345" s="30" t="s">
        <v>2751</v>
      </c>
      <c r="B345" s="5" t="s">
        <v>2752</v>
      </c>
      <c r="C345" s="31" t="s">
        <v>2753</v>
      </c>
      <c r="D345" s="31" t="s">
        <v>2754</v>
      </c>
      <c r="E345" s="5"/>
      <c r="F345" s="5" t="s">
        <v>226</v>
      </c>
      <c r="G345" s="5" t="s">
        <v>1030</v>
      </c>
      <c r="H345" s="107" t="s">
        <v>2755</v>
      </c>
      <c r="I345" s="32"/>
      <c r="J345" s="32"/>
      <c r="K345" s="5"/>
      <c r="L345" s="5"/>
      <c r="M345" s="5" t="s">
        <v>231</v>
      </c>
      <c r="N345" s="5" t="s">
        <v>250</v>
      </c>
      <c r="O345" s="33"/>
      <c r="P345" s="5"/>
      <c r="Q345" s="1"/>
      <c r="R345" s="31"/>
      <c r="S345" s="31"/>
      <c r="T345" s="31"/>
      <c r="U345" s="31" t="s">
        <v>2753</v>
      </c>
      <c r="V345" s="31" t="s">
        <v>2756</v>
      </c>
      <c r="W345" s="34">
        <v>1</v>
      </c>
      <c r="X345" s="41" t="s">
        <v>1848</v>
      </c>
      <c r="Y345" s="5"/>
      <c r="Z345" s="35">
        <v>0</v>
      </c>
      <c r="AA345" s="31"/>
      <c r="AB345" s="31" t="s">
        <v>2757</v>
      </c>
      <c r="AC345" s="5" t="s">
        <v>52</v>
      </c>
      <c r="AD345" s="5" t="s">
        <v>238</v>
      </c>
      <c r="AE345" s="36" t="s">
        <v>1851</v>
      </c>
      <c r="AF345" s="31" t="s">
        <v>2757</v>
      </c>
      <c r="AG345" s="31"/>
      <c r="AH345" s="31"/>
      <c r="AI345" s="31"/>
      <c r="AJ345" s="31" t="s">
        <v>241</v>
      </c>
      <c r="AK345" s="31" t="s">
        <v>238</v>
      </c>
      <c r="AL345" s="31"/>
      <c r="AM345" s="31"/>
      <c r="AN345" s="31"/>
      <c r="AO345" s="31"/>
      <c r="AP345" s="31"/>
      <c r="AQ345" s="31"/>
      <c r="AR345" s="31"/>
      <c r="AS345" s="30">
        <v>66</v>
      </c>
      <c r="AT345" s="37"/>
      <c r="AU345" s="37"/>
      <c r="AV345" s="37"/>
      <c r="AW345" s="37"/>
      <c r="AX345" s="37"/>
      <c r="AY345" s="38"/>
      <c r="AZ345" s="38"/>
      <c r="BA345" s="38"/>
      <c r="BB345" s="46"/>
      <c r="BC345" s="37"/>
      <c r="BD345" s="37"/>
      <c r="BE345" s="5"/>
      <c r="BF345" s="5"/>
      <c r="BG345" s="47" t="s">
        <v>2758</v>
      </c>
      <c r="BH345" s="47"/>
      <c r="BI345" s="31" t="s">
        <v>2758</v>
      </c>
      <c r="BJ345" s="48"/>
      <c r="BK345" s="49">
        <v>1</v>
      </c>
    </row>
    <row x14ac:dyDescent="0.25" r="346" customHeight="1" ht="31.5">
      <c r="A346" s="30">
        <v>10005</v>
      </c>
      <c r="B346" s="5" t="s">
        <v>2759</v>
      </c>
      <c r="C346" s="31" t="s">
        <v>2760</v>
      </c>
      <c r="D346" s="31" t="s">
        <v>2761</v>
      </c>
      <c r="E346" s="5"/>
      <c r="F346" s="5" t="s">
        <v>226</v>
      </c>
      <c r="G346" s="5" t="s">
        <v>1030</v>
      </c>
      <c r="H346" s="107" t="s">
        <v>2719</v>
      </c>
      <c r="I346" s="32"/>
      <c r="J346" s="32"/>
      <c r="K346" s="5"/>
      <c r="L346" s="5"/>
      <c r="M346" s="5" t="s">
        <v>231</v>
      </c>
      <c r="N346" s="5" t="s">
        <v>250</v>
      </c>
      <c r="O346" s="33"/>
      <c r="P346" s="5"/>
      <c r="Q346" s="1" t="s">
        <v>233</v>
      </c>
      <c r="R346" s="31" t="s">
        <v>286</v>
      </c>
      <c r="S346" s="31"/>
      <c r="T346" s="31"/>
      <c r="U346" s="31" t="s">
        <v>2762</v>
      </c>
      <c r="V346" s="5" t="s">
        <v>2763</v>
      </c>
      <c r="W346" s="40">
        <v>1</v>
      </c>
      <c r="X346" s="41" t="s">
        <v>1848</v>
      </c>
      <c r="Y346" s="42" t="s">
        <v>256</v>
      </c>
      <c r="Z346" s="35">
        <v>0</v>
      </c>
      <c r="AA346" s="31"/>
      <c r="AB346" s="5" t="s">
        <v>2764</v>
      </c>
      <c r="AC346" s="5" t="s">
        <v>52</v>
      </c>
      <c r="AD346" s="5" t="s">
        <v>238</v>
      </c>
      <c r="AE346" s="169" t="s">
        <v>1851</v>
      </c>
      <c r="AF346" s="5" t="s">
        <v>2765</v>
      </c>
      <c r="AG346" s="5"/>
      <c r="AH346" s="5"/>
      <c r="AI346" s="5"/>
      <c r="AJ346" s="5" t="s">
        <v>241</v>
      </c>
      <c r="AK346" s="5" t="s">
        <v>238</v>
      </c>
      <c r="AL346" s="5"/>
      <c r="AM346" s="5"/>
      <c r="AN346" s="5"/>
      <c r="AO346" s="5"/>
      <c r="AP346" s="5"/>
      <c r="AQ346" s="5"/>
      <c r="AR346" s="5"/>
      <c r="AS346" s="30">
        <v>67</v>
      </c>
      <c r="AT346" s="37"/>
      <c r="AU346" s="37"/>
      <c r="AV346" s="37"/>
      <c r="AW346" s="37"/>
      <c r="AX346" s="37"/>
      <c r="AY346" s="38"/>
      <c r="AZ346" s="38"/>
      <c r="BA346" s="38"/>
      <c r="BB346" s="46"/>
      <c r="BC346" s="37"/>
      <c r="BD346" s="37"/>
      <c r="BE346" s="5"/>
      <c r="BF346" s="146"/>
      <c r="BG346" s="31" t="s">
        <v>2766</v>
      </c>
      <c r="BH346" s="31"/>
      <c r="BI346" s="31" t="s">
        <v>2766</v>
      </c>
      <c r="BJ346" s="48"/>
      <c r="BK346" s="49">
        <v>1</v>
      </c>
    </row>
    <row x14ac:dyDescent="0.25" r="347" customHeight="1" ht="31.5">
      <c r="A347" s="30" t="s">
        <v>2767</v>
      </c>
      <c r="B347" s="5" t="s">
        <v>2768</v>
      </c>
      <c r="C347" s="31" t="s">
        <v>2769</v>
      </c>
      <c r="D347" s="31" t="s">
        <v>2770</v>
      </c>
      <c r="E347" s="5"/>
      <c r="F347" s="5" t="s">
        <v>226</v>
      </c>
      <c r="G347" s="5" t="s">
        <v>1030</v>
      </c>
      <c r="H347" s="107" t="s">
        <v>2771</v>
      </c>
      <c r="I347" s="32"/>
      <c r="J347" s="32"/>
      <c r="K347" s="5"/>
      <c r="L347" s="5"/>
      <c r="M347" s="5" t="s">
        <v>231</v>
      </c>
      <c r="N347" s="5" t="s">
        <v>250</v>
      </c>
      <c r="O347" s="33"/>
      <c r="P347" s="5"/>
      <c r="Q347" s="1" t="s">
        <v>233</v>
      </c>
      <c r="R347" s="31" t="s">
        <v>286</v>
      </c>
      <c r="S347" s="31"/>
      <c r="T347" s="31"/>
      <c r="U347" s="31" t="s">
        <v>2772</v>
      </c>
      <c r="V347" s="5"/>
      <c r="W347" s="40">
        <v>1</v>
      </c>
      <c r="X347" s="41" t="s">
        <v>1848</v>
      </c>
      <c r="Y347" s="42"/>
      <c r="Z347" s="35">
        <v>0</v>
      </c>
      <c r="AA347" s="31"/>
      <c r="AB347" s="31" t="s">
        <v>2773</v>
      </c>
      <c r="AC347" s="5" t="s">
        <v>52</v>
      </c>
      <c r="AD347" s="5" t="s">
        <v>238</v>
      </c>
      <c r="AE347" s="36" t="s">
        <v>1851</v>
      </c>
      <c r="AF347" s="31" t="s">
        <v>2773</v>
      </c>
      <c r="AG347" s="31"/>
      <c r="AH347" s="31"/>
      <c r="AI347" s="31"/>
      <c r="AJ347" s="31" t="s">
        <v>241</v>
      </c>
      <c r="AK347" s="31" t="s">
        <v>238</v>
      </c>
      <c r="AL347" s="31"/>
      <c r="AM347" s="31"/>
      <c r="AN347" s="31"/>
      <c r="AO347" s="31"/>
      <c r="AP347" s="31"/>
      <c r="AQ347" s="31"/>
      <c r="AR347" s="31"/>
      <c r="AS347" s="30">
        <v>78</v>
      </c>
      <c r="AT347" s="37"/>
      <c r="AU347" s="37"/>
      <c r="AV347" s="37"/>
      <c r="AW347" s="37"/>
      <c r="AX347" s="37"/>
      <c r="AY347" s="38"/>
      <c r="AZ347" s="38"/>
      <c r="BA347" s="38"/>
      <c r="BB347" s="46"/>
      <c r="BC347" s="37"/>
      <c r="BD347" s="37"/>
      <c r="BE347" s="5"/>
      <c r="BF347" s="5"/>
      <c r="BG347" s="31" t="s">
        <v>2774</v>
      </c>
      <c r="BH347" s="31"/>
      <c r="BI347" s="31" t="s">
        <v>2774</v>
      </c>
      <c r="BJ347" s="48"/>
      <c r="BK347" s="49">
        <v>1</v>
      </c>
    </row>
    <row x14ac:dyDescent="0.25" r="348" customHeight="1" ht="31.5">
      <c r="A348" s="156" t="s">
        <v>2732</v>
      </c>
      <c r="B348" s="157" t="s">
        <v>2775</v>
      </c>
      <c r="C348" s="158" t="s">
        <v>2776</v>
      </c>
      <c r="D348" s="158" t="s">
        <v>2777</v>
      </c>
      <c r="E348" s="157"/>
      <c r="F348" s="157" t="s">
        <v>226</v>
      </c>
      <c r="G348" s="157" t="s">
        <v>1030</v>
      </c>
      <c r="H348" s="107" t="s">
        <v>2778</v>
      </c>
      <c r="I348" s="159"/>
      <c r="J348" s="159"/>
      <c r="K348" s="157"/>
      <c r="L348" s="157"/>
      <c r="M348" s="157" t="s">
        <v>231</v>
      </c>
      <c r="N348" s="157" t="s">
        <v>579</v>
      </c>
      <c r="O348" s="160"/>
      <c r="P348" s="157"/>
      <c r="Q348" s="161" t="s">
        <v>251</v>
      </c>
      <c r="R348" s="158" t="s">
        <v>286</v>
      </c>
      <c r="S348" s="158"/>
      <c r="T348" s="158"/>
      <c r="U348" s="158" t="s">
        <v>2776</v>
      </c>
      <c r="V348" s="157"/>
      <c r="W348" s="162">
        <v>1</v>
      </c>
      <c r="X348" s="158" t="s">
        <v>1848</v>
      </c>
      <c r="Y348" s="157" t="s">
        <v>256</v>
      </c>
      <c r="Z348" s="163">
        <v>0</v>
      </c>
      <c r="AA348" s="158" t="s">
        <v>2779</v>
      </c>
      <c r="AB348" s="158" t="s">
        <v>2740</v>
      </c>
      <c r="AC348" s="157" t="s">
        <v>52</v>
      </c>
      <c r="AD348" s="158" t="s">
        <v>259</v>
      </c>
      <c r="AE348" s="164" t="s">
        <v>2714</v>
      </c>
      <c r="AF348" s="158" t="s">
        <v>2740</v>
      </c>
      <c r="AG348" s="158"/>
      <c r="AH348" s="158"/>
      <c r="AI348" s="158"/>
      <c r="AJ348" s="158" t="s">
        <v>262</v>
      </c>
      <c r="AK348" s="158" t="s">
        <v>259</v>
      </c>
      <c r="AL348" s="158"/>
      <c r="AM348" s="158"/>
      <c r="AN348" s="158"/>
      <c r="AO348" s="158"/>
      <c r="AP348" s="158"/>
      <c r="AQ348" s="158"/>
      <c r="AR348" s="158" t="s">
        <v>243</v>
      </c>
      <c r="AS348" s="156">
        <v>80</v>
      </c>
      <c r="AT348" s="165"/>
      <c r="AU348" s="165"/>
      <c r="AV348" s="165"/>
      <c r="AW348" s="165"/>
      <c r="AX348" s="165"/>
      <c r="AY348" s="166"/>
      <c r="AZ348" s="166"/>
      <c r="BA348" s="166"/>
      <c r="BB348" s="161"/>
      <c r="BC348" s="165">
        <v>77</v>
      </c>
      <c r="BD348" s="165"/>
      <c r="BE348" s="157"/>
      <c r="BF348" s="157"/>
      <c r="BG348" s="158" t="s">
        <v>2780</v>
      </c>
      <c r="BH348" s="158" t="s">
        <v>2781</v>
      </c>
      <c r="BI348" s="158" t="s">
        <v>2782</v>
      </c>
      <c r="BJ348" s="158"/>
      <c r="BK348" s="156">
        <v>3</v>
      </c>
    </row>
    <row x14ac:dyDescent="0.25" r="349" customHeight="1" ht="31.5">
      <c r="A349" s="30" t="s">
        <v>2783</v>
      </c>
      <c r="B349" s="5" t="s">
        <v>2784</v>
      </c>
      <c r="C349" s="31" t="s">
        <v>2785</v>
      </c>
      <c r="D349" s="31" t="s">
        <v>2785</v>
      </c>
      <c r="E349" s="5"/>
      <c r="F349" s="5" t="s">
        <v>1953</v>
      </c>
      <c r="G349" s="5" t="s">
        <v>1030</v>
      </c>
      <c r="H349" s="31" t="s">
        <v>2786</v>
      </c>
      <c r="I349" s="32"/>
      <c r="J349" s="32"/>
      <c r="K349" s="5"/>
      <c r="L349" s="5"/>
      <c r="M349" s="5" t="s">
        <v>231</v>
      </c>
      <c r="N349" s="5"/>
      <c r="O349" s="33"/>
      <c r="P349" s="5"/>
      <c r="Q349" s="1" t="s">
        <v>251</v>
      </c>
      <c r="R349" s="31"/>
      <c r="S349" s="31"/>
      <c r="T349" s="31"/>
      <c r="U349" s="31" t="s">
        <v>2787</v>
      </c>
      <c r="V349" s="5"/>
      <c r="W349" s="40">
        <v>0</v>
      </c>
      <c r="X349" s="41" t="s">
        <v>386</v>
      </c>
      <c r="Y349" s="42"/>
      <c r="Z349" s="38" t="s">
        <v>386</v>
      </c>
      <c r="AA349" s="31" t="s">
        <v>2788</v>
      </c>
      <c r="AB349" s="31" t="s">
        <v>2789</v>
      </c>
      <c r="AC349" s="5" t="s">
        <v>24</v>
      </c>
      <c r="AD349" s="5" t="s">
        <v>259</v>
      </c>
      <c r="AE349" s="169" t="s">
        <v>1957</v>
      </c>
      <c r="AF349" s="5" t="s">
        <v>292</v>
      </c>
      <c r="AG349" s="5" t="s">
        <v>49</v>
      </c>
      <c r="AH349" s="5"/>
      <c r="AI349" s="5"/>
      <c r="AJ349" s="5" t="s">
        <v>262</v>
      </c>
      <c r="AK349" s="5" t="s">
        <v>259</v>
      </c>
      <c r="AL349" s="5"/>
      <c r="AM349" s="5"/>
      <c r="AN349" s="5"/>
      <c r="AO349" s="5"/>
      <c r="AP349" s="5"/>
      <c r="AQ349" s="5"/>
      <c r="AR349" s="5"/>
      <c r="AS349" s="30">
        <v>127</v>
      </c>
      <c r="AT349" s="37">
        <v>48</v>
      </c>
      <c r="AU349" s="37"/>
      <c r="AV349" s="37"/>
      <c r="AW349" s="37"/>
      <c r="AX349" s="37"/>
      <c r="AY349" s="38"/>
      <c r="AZ349" s="38"/>
      <c r="BA349" s="38"/>
      <c r="BB349" s="46"/>
      <c r="BC349" s="37"/>
      <c r="BD349" s="37"/>
      <c r="BE349" s="5"/>
      <c r="BF349" s="5"/>
      <c r="BG349" s="31"/>
      <c r="BH349" s="31"/>
      <c r="BI349" s="31"/>
      <c r="BJ349" s="48"/>
      <c r="BK349" s="49"/>
    </row>
    <row x14ac:dyDescent="0.25" r="350" customHeight="1" ht="31.5">
      <c r="A350" s="30" t="s">
        <v>2790</v>
      </c>
      <c r="B350" s="5" t="s">
        <v>2791</v>
      </c>
      <c r="C350" s="31" t="s">
        <v>2792</v>
      </c>
      <c r="D350" s="31" t="s">
        <v>2793</v>
      </c>
      <c r="E350" s="5"/>
      <c r="F350" s="5" t="s">
        <v>226</v>
      </c>
      <c r="G350" s="5" t="s">
        <v>1030</v>
      </c>
      <c r="H350" s="107" t="s">
        <v>2794</v>
      </c>
      <c r="I350" s="32"/>
      <c r="J350" s="32"/>
      <c r="K350" s="5"/>
      <c r="L350" s="5"/>
      <c r="M350" s="5" t="s">
        <v>820</v>
      </c>
      <c r="N350" s="5" t="s">
        <v>250</v>
      </c>
      <c r="O350" s="33"/>
      <c r="P350" s="5"/>
      <c r="Q350" s="1" t="s">
        <v>251</v>
      </c>
      <c r="R350" s="31" t="s">
        <v>252</v>
      </c>
      <c r="S350" s="31"/>
      <c r="T350" s="31" t="s">
        <v>2795</v>
      </c>
      <c r="U350" s="31" t="s">
        <v>2792</v>
      </c>
      <c r="V350" s="31" t="s">
        <v>2796</v>
      </c>
      <c r="W350" s="40">
        <v>1</v>
      </c>
      <c r="X350" s="55" t="s">
        <v>1848</v>
      </c>
      <c r="Y350" s="42"/>
      <c r="Z350" s="35">
        <v>0</v>
      </c>
      <c r="AA350" s="31" t="s">
        <v>2797</v>
      </c>
      <c r="AB350" s="31" t="s">
        <v>2798</v>
      </c>
      <c r="AC350" s="5" t="s">
        <v>52</v>
      </c>
      <c r="AD350" s="31" t="s">
        <v>259</v>
      </c>
      <c r="AE350" s="36" t="s">
        <v>2799</v>
      </c>
      <c r="AF350" s="31" t="s">
        <v>2800</v>
      </c>
      <c r="AG350" s="31"/>
      <c r="AH350" s="31"/>
      <c r="AI350" s="31"/>
      <c r="AJ350" s="31" t="s">
        <v>2801</v>
      </c>
      <c r="AK350" s="31" t="s">
        <v>1036</v>
      </c>
      <c r="AL350" s="5" t="s">
        <v>2802</v>
      </c>
      <c r="AM350" s="31"/>
      <c r="AN350" s="31"/>
      <c r="AO350" s="31"/>
      <c r="AP350" s="31"/>
      <c r="AQ350" s="31"/>
      <c r="AR350" s="31"/>
      <c r="AS350" s="30"/>
      <c r="AT350" s="37">
        <v>43</v>
      </c>
      <c r="AU350" s="37"/>
      <c r="AV350" s="37"/>
      <c r="AW350" s="37"/>
      <c r="AX350" s="37"/>
      <c r="AY350" s="166"/>
      <c r="AZ350" s="38"/>
      <c r="BA350" s="38"/>
      <c r="BB350" s="46"/>
      <c r="BC350" s="37"/>
      <c r="BD350" s="37"/>
      <c r="BE350" s="5"/>
      <c r="BF350" s="5"/>
      <c r="BG350" s="47" t="s">
        <v>2803</v>
      </c>
      <c r="BH350" s="47"/>
      <c r="BI350" s="31" t="s">
        <v>2803</v>
      </c>
      <c r="BJ350" s="48"/>
      <c r="BK350" s="49">
        <v>1</v>
      </c>
    </row>
    <row x14ac:dyDescent="0.25" r="351" customHeight="1" ht="31.5">
      <c r="A351" s="30" t="s">
        <v>2804</v>
      </c>
      <c r="B351" s="5" t="s">
        <v>2805</v>
      </c>
      <c r="C351" s="31" t="s">
        <v>2806</v>
      </c>
      <c r="D351" s="31" t="s">
        <v>2807</v>
      </c>
      <c r="E351" s="5"/>
      <c r="F351" s="5" t="s">
        <v>282</v>
      </c>
      <c r="G351" s="5" t="s">
        <v>1030</v>
      </c>
      <c r="H351" s="107" t="s">
        <v>2808</v>
      </c>
      <c r="I351" s="32"/>
      <c r="J351" s="32"/>
      <c r="K351" s="5"/>
      <c r="L351" s="5"/>
      <c r="M351" s="5" t="s">
        <v>820</v>
      </c>
      <c r="N351" s="5" t="s">
        <v>579</v>
      </c>
      <c r="O351" s="33"/>
      <c r="P351" s="5"/>
      <c r="Q351" s="1" t="s">
        <v>251</v>
      </c>
      <c r="R351" s="31" t="s">
        <v>286</v>
      </c>
      <c r="S351" s="31"/>
      <c r="T351" s="31"/>
      <c r="U351" s="31" t="s">
        <v>2806</v>
      </c>
      <c r="V351" s="5"/>
      <c r="W351" s="40">
        <v>0</v>
      </c>
      <c r="X351" s="31" t="s">
        <v>386</v>
      </c>
      <c r="Y351" s="42"/>
      <c r="Z351" s="20" t="s">
        <v>386</v>
      </c>
      <c r="AA351" s="31" t="s">
        <v>2809</v>
      </c>
      <c r="AB351" s="31" t="s">
        <v>2810</v>
      </c>
      <c r="AC351" s="5" t="s">
        <v>64</v>
      </c>
      <c r="AD351" s="31" t="s">
        <v>259</v>
      </c>
      <c r="AE351" s="36" t="s">
        <v>1036</v>
      </c>
      <c r="AF351" s="31" t="s">
        <v>2810</v>
      </c>
      <c r="AG351" s="31"/>
      <c r="AH351" s="31"/>
      <c r="AI351" s="31" t="s">
        <v>1038</v>
      </c>
      <c r="AJ351" s="31" t="s">
        <v>262</v>
      </c>
      <c r="AK351" s="31" t="s">
        <v>259</v>
      </c>
      <c r="AL351" s="31"/>
      <c r="AM351" s="31"/>
      <c r="AN351" s="31"/>
      <c r="AO351" s="31"/>
      <c r="AP351" s="31"/>
      <c r="AQ351" s="31"/>
      <c r="AR351" s="31"/>
      <c r="AS351" s="30"/>
      <c r="AT351" s="37">
        <v>8</v>
      </c>
      <c r="AU351" s="37"/>
      <c r="AV351" s="37"/>
      <c r="AW351" s="37"/>
      <c r="AX351" s="37"/>
      <c r="AY351" s="38"/>
      <c r="AZ351" s="38"/>
      <c r="BA351" s="38"/>
      <c r="BB351" s="46"/>
      <c r="BC351" s="37"/>
      <c r="BD351" s="37"/>
      <c r="BE351" s="5"/>
      <c r="BF351" s="5"/>
      <c r="BG351" s="31" t="s">
        <v>2811</v>
      </c>
      <c r="BH351" s="31"/>
      <c r="BI351" s="31" t="s">
        <v>2811</v>
      </c>
      <c r="BJ351" s="48"/>
      <c r="BK351" s="49">
        <v>1</v>
      </c>
    </row>
    <row x14ac:dyDescent="0.25" r="352" customHeight="1" ht="31.5">
      <c r="A352" s="30" t="s">
        <v>2812</v>
      </c>
      <c r="B352" s="5" t="s">
        <v>2813</v>
      </c>
      <c r="C352" s="31" t="s">
        <v>2814</v>
      </c>
      <c r="D352" s="31" t="s">
        <v>2815</v>
      </c>
      <c r="E352" s="5"/>
      <c r="F352" s="5" t="s">
        <v>637</v>
      </c>
      <c r="G352" s="5" t="s">
        <v>1030</v>
      </c>
      <c r="H352" s="107" t="s">
        <v>2816</v>
      </c>
      <c r="I352" s="32"/>
      <c r="J352" s="32"/>
      <c r="K352" s="5"/>
      <c r="L352" s="5"/>
      <c r="M352" s="5" t="s">
        <v>820</v>
      </c>
      <c r="N352" s="5" t="s">
        <v>579</v>
      </c>
      <c r="O352" s="33"/>
      <c r="P352" s="5"/>
      <c r="Q352" s="1" t="s">
        <v>251</v>
      </c>
      <c r="R352" s="31" t="s">
        <v>286</v>
      </c>
      <c r="S352" s="31"/>
      <c r="T352" s="31"/>
      <c r="U352" s="31" t="s">
        <v>2814</v>
      </c>
      <c r="V352" s="5"/>
      <c r="W352" s="34">
        <v>0</v>
      </c>
      <c r="X352" s="31" t="s">
        <v>386</v>
      </c>
      <c r="Y352" s="5"/>
      <c r="Z352" s="20" t="s">
        <v>386</v>
      </c>
      <c r="AA352" s="31" t="s">
        <v>2815</v>
      </c>
      <c r="AB352" s="31" t="s">
        <v>2810</v>
      </c>
      <c r="AC352" s="5" t="s">
        <v>64</v>
      </c>
      <c r="AD352" s="31" t="s">
        <v>259</v>
      </c>
      <c r="AE352" s="36" t="s">
        <v>1036</v>
      </c>
      <c r="AF352" s="31" t="s">
        <v>2817</v>
      </c>
      <c r="AG352" s="31"/>
      <c r="AH352" s="31"/>
      <c r="AI352" s="31" t="s">
        <v>1038</v>
      </c>
      <c r="AJ352" s="31" t="s">
        <v>262</v>
      </c>
      <c r="AK352" s="31" t="s">
        <v>259</v>
      </c>
      <c r="AL352" s="31"/>
      <c r="AM352" s="31"/>
      <c r="AN352" s="31"/>
      <c r="AO352" s="31"/>
      <c r="AP352" s="31"/>
      <c r="AQ352" s="31"/>
      <c r="AR352" s="31"/>
      <c r="AS352" s="30"/>
      <c r="AT352" s="37">
        <v>9</v>
      </c>
      <c r="AU352" s="37"/>
      <c r="AV352" s="37"/>
      <c r="AW352" s="37"/>
      <c r="AX352" s="37"/>
      <c r="AY352" s="38"/>
      <c r="AZ352" s="38"/>
      <c r="BA352" s="38"/>
      <c r="BB352" s="46"/>
      <c r="BC352" s="37"/>
      <c r="BD352" s="37"/>
      <c r="BE352" s="5"/>
      <c r="BF352" s="5"/>
      <c r="BG352" s="31" t="s">
        <v>2814</v>
      </c>
      <c r="BH352" s="31"/>
      <c r="BI352" s="31" t="s">
        <v>2814</v>
      </c>
      <c r="BJ352" s="48"/>
      <c r="BK352" s="49">
        <v>1</v>
      </c>
    </row>
    <row x14ac:dyDescent="0.25" r="353" customHeight="1" ht="31.5">
      <c r="A353" s="30">
        <v>30004</v>
      </c>
      <c r="B353" s="5" t="s">
        <v>2818</v>
      </c>
      <c r="C353" s="31" t="s">
        <v>2819</v>
      </c>
      <c r="D353" s="31" t="s">
        <v>2820</v>
      </c>
      <c r="E353" s="5"/>
      <c r="F353" s="5" t="s">
        <v>637</v>
      </c>
      <c r="G353" s="5" t="s">
        <v>1030</v>
      </c>
      <c r="H353" s="107" t="s">
        <v>2821</v>
      </c>
      <c r="I353" s="32"/>
      <c r="J353" s="32"/>
      <c r="K353" s="5"/>
      <c r="L353" s="5"/>
      <c r="M353" s="5" t="s">
        <v>820</v>
      </c>
      <c r="N353" s="5" t="s">
        <v>579</v>
      </c>
      <c r="O353" s="33"/>
      <c r="P353" s="5"/>
      <c r="Q353" s="1" t="s">
        <v>251</v>
      </c>
      <c r="R353" s="31" t="s">
        <v>286</v>
      </c>
      <c r="S353" s="31"/>
      <c r="T353" s="31"/>
      <c r="U353" s="31" t="s">
        <v>2819</v>
      </c>
      <c r="V353" s="5"/>
      <c r="W353" s="40">
        <v>1</v>
      </c>
      <c r="X353" s="41" t="s">
        <v>820</v>
      </c>
      <c r="Y353" s="42"/>
      <c r="Z353" s="35">
        <v>1</v>
      </c>
      <c r="AA353" s="31" t="s">
        <v>2820</v>
      </c>
      <c r="AB353" s="31" t="s">
        <v>2822</v>
      </c>
      <c r="AC353" s="5" t="s">
        <v>24</v>
      </c>
      <c r="AD353" s="31" t="s">
        <v>259</v>
      </c>
      <c r="AE353" s="36" t="s">
        <v>1036</v>
      </c>
      <c r="AF353" s="31" t="s">
        <v>2822</v>
      </c>
      <c r="AG353" s="31"/>
      <c r="AH353" s="31"/>
      <c r="AI353" s="31" t="s">
        <v>1038</v>
      </c>
      <c r="AJ353" s="31" t="s">
        <v>262</v>
      </c>
      <c r="AK353" s="31" t="s">
        <v>259</v>
      </c>
      <c r="AL353" s="31"/>
      <c r="AM353" s="31"/>
      <c r="AN353" s="31"/>
      <c r="AO353" s="31"/>
      <c r="AP353" s="31"/>
      <c r="AQ353" s="31"/>
      <c r="AR353" s="31"/>
      <c r="AS353" s="30"/>
      <c r="AT353" s="37">
        <v>7</v>
      </c>
      <c r="AU353" s="37"/>
      <c r="AV353" s="37"/>
      <c r="AW353" s="37"/>
      <c r="AX353" s="37"/>
      <c r="AY353" s="38"/>
      <c r="AZ353" s="38"/>
      <c r="BA353" s="38"/>
      <c r="BB353" s="46"/>
      <c r="BC353" s="37"/>
      <c r="BD353" s="37"/>
      <c r="BE353" s="5"/>
      <c r="BF353" s="5"/>
      <c r="BG353" s="31" t="s">
        <v>2819</v>
      </c>
      <c r="BH353" s="31"/>
      <c r="BI353" s="31" t="s">
        <v>2819</v>
      </c>
      <c r="BJ353" s="48"/>
      <c r="BK353" s="49">
        <v>1</v>
      </c>
    </row>
    <row x14ac:dyDescent="0.25" r="354" customHeight="1" ht="31.5">
      <c r="A354" s="30" t="s">
        <v>2823</v>
      </c>
      <c r="B354" s="5" t="s">
        <v>2824</v>
      </c>
      <c r="C354" s="31" t="s">
        <v>2825</v>
      </c>
      <c r="D354" s="31" t="s">
        <v>2826</v>
      </c>
      <c r="E354" s="5"/>
      <c r="F354" s="5" t="s">
        <v>226</v>
      </c>
      <c r="G354" s="5" t="s">
        <v>1030</v>
      </c>
      <c r="H354" s="107" t="s">
        <v>2827</v>
      </c>
      <c r="I354" s="32"/>
      <c r="J354" s="32"/>
      <c r="K354" s="5"/>
      <c r="L354" s="5"/>
      <c r="M354" s="5" t="s">
        <v>820</v>
      </c>
      <c r="N354" s="5" t="s">
        <v>250</v>
      </c>
      <c r="O354" s="33"/>
      <c r="P354" s="5"/>
      <c r="Q354" s="1" t="s">
        <v>251</v>
      </c>
      <c r="R354" s="31" t="s">
        <v>286</v>
      </c>
      <c r="S354" s="31"/>
      <c r="T354" s="31" t="s">
        <v>2828</v>
      </c>
      <c r="U354" s="31" t="s">
        <v>2829</v>
      </c>
      <c r="V354" s="5"/>
      <c r="W354" s="40">
        <v>1</v>
      </c>
      <c r="X354" s="55" t="s">
        <v>1848</v>
      </c>
      <c r="Y354" s="42" t="s">
        <v>256</v>
      </c>
      <c r="Z354" s="35">
        <v>0</v>
      </c>
      <c r="AA354" s="31" t="s">
        <v>2830</v>
      </c>
      <c r="AB354" s="31" t="s">
        <v>2831</v>
      </c>
      <c r="AC354" s="5" t="s">
        <v>52</v>
      </c>
      <c r="AD354" s="31" t="s">
        <v>259</v>
      </c>
      <c r="AE354" s="36" t="s">
        <v>2799</v>
      </c>
      <c r="AF354" s="31" t="s">
        <v>2832</v>
      </c>
      <c r="AG354" s="31"/>
      <c r="AH354" s="31"/>
      <c r="AI354" s="31"/>
      <c r="AJ354" s="31"/>
      <c r="AK354" s="31" t="s">
        <v>1036</v>
      </c>
      <c r="AL354" s="5" t="s">
        <v>2802</v>
      </c>
      <c r="AM354" s="31"/>
      <c r="AN354" s="31"/>
      <c r="AO354" s="31"/>
      <c r="AP354" s="31"/>
      <c r="AQ354" s="31"/>
      <c r="AR354" s="31"/>
      <c r="AS354" s="30"/>
      <c r="AT354" s="37">
        <v>45</v>
      </c>
      <c r="AU354" s="37"/>
      <c r="AV354" s="37"/>
      <c r="AW354" s="37"/>
      <c r="AX354" s="37"/>
      <c r="AY354" s="38"/>
      <c r="AZ354" s="38"/>
      <c r="BA354" s="38"/>
      <c r="BB354" s="46"/>
      <c r="BC354" s="37"/>
      <c r="BD354" s="37"/>
      <c r="BE354" s="5"/>
      <c r="BF354" s="5"/>
      <c r="BG354" s="31" t="s">
        <v>2833</v>
      </c>
      <c r="BH354" s="31"/>
      <c r="BI354" s="31" t="s">
        <v>2833</v>
      </c>
      <c r="BJ354" s="48"/>
      <c r="BK354" s="49">
        <v>1</v>
      </c>
    </row>
    <row x14ac:dyDescent="0.25" r="355" customHeight="1" ht="31.5">
      <c r="A355" s="30">
        <v>30005</v>
      </c>
      <c r="B355" s="5" t="s">
        <v>2834</v>
      </c>
      <c r="C355" s="31" t="s">
        <v>2762</v>
      </c>
      <c r="D355" s="31" t="s">
        <v>2835</v>
      </c>
      <c r="E355" s="5"/>
      <c r="F355" s="5" t="s">
        <v>226</v>
      </c>
      <c r="G355" s="5" t="s">
        <v>1030</v>
      </c>
      <c r="H355" s="107" t="s">
        <v>2836</v>
      </c>
      <c r="I355" s="32"/>
      <c r="J355" s="32"/>
      <c r="K355" s="62"/>
      <c r="L355" s="62"/>
      <c r="M355" s="62" t="s">
        <v>820</v>
      </c>
      <c r="N355" s="5" t="s">
        <v>579</v>
      </c>
      <c r="O355" s="33"/>
      <c r="P355" s="5"/>
      <c r="Q355" s="1" t="s">
        <v>251</v>
      </c>
      <c r="R355" s="31" t="s">
        <v>286</v>
      </c>
      <c r="S355" s="31"/>
      <c r="T355" s="31"/>
      <c r="U355" s="31" t="s">
        <v>2762</v>
      </c>
      <c r="V355" s="5"/>
      <c r="W355" s="40">
        <v>1</v>
      </c>
      <c r="X355" s="41" t="s">
        <v>594</v>
      </c>
      <c r="Y355" s="42" t="s">
        <v>256</v>
      </c>
      <c r="Z355" s="34">
        <v>0</v>
      </c>
      <c r="AA355" s="31" t="s">
        <v>2837</v>
      </c>
      <c r="AB355" s="5" t="s">
        <v>2838</v>
      </c>
      <c r="AC355" s="5" t="s">
        <v>52</v>
      </c>
      <c r="AD355" s="5" t="s">
        <v>259</v>
      </c>
      <c r="AE355" s="169" t="s">
        <v>2799</v>
      </c>
      <c r="AF355" s="5" t="s">
        <v>2839</v>
      </c>
      <c r="AG355" s="5"/>
      <c r="AH355" s="5"/>
      <c r="AI355" s="5"/>
      <c r="AJ355" s="5"/>
      <c r="AK355" s="5" t="s">
        <v>1036</v>
      </c>
      <c r="AL355" s="5" t="s">
        <v>2802</v>
      </c>
      <c r="AM355" s="5"/>
      <c r="AN355" s="5"/>
      <c r="AO355" s="5"/>
      <c r="AP355" s="5"/>
      <c r="AQ355" s="5"/>
      <c r="AR355" s="5"/>
      <c r="AS355" s="30"/>
      <c r="AT355" s="37">
        <v>11</v>
      </c>
      <c r="AU355" s="37"/>
      <c r="AV355" s="37"/>
      <c r="AW355" s="37"/>
      <c r="AX355" s="37"/>
      <c r="AY355" s="38"/>
      <c r="AZ355" s="38"/>
      <c r="BA355" s="38"/>
      <c r="BB355" s="46"/>
      <c r="BC355" s="37"/>
      <c r="BD355" s="37"/>
      <c r="BE355" s="5"/>
      <c r="BF355" s="5"/>
      <c r="BG355" s="31" t="s">
        <v>2840</v>
      </c>
      <c r="BH355" s="31"/>
      <c r="BI355" s="31" t="s">
        <v>2840</v>
      </c>
      <c r="BJ355" s="48"/>
      <c r="BK355" s="49">
        <v>1</v>
      </c>
    </row>
    <row x14ac:dyDescent="0.25" r="356" customHeight="1" ht="31.5">
      <c r="A356" s="30" t="s">
        <v>2790</v>
      </c>
      <c r="B356" s="5" t="s">
        <v>2841</v>
      </c>
      <c r="C356" s="31" t="s">
        <v>2842</v>
      </c>
      <c r="D356" s="31" t="s">
        <v>2843</v>
      </c>
      <c r="E356" s="5"/>
      <c r="F356" s="5" t="s">
        <v>226</v>
      </c>
      <c r="G356" s="5" t="s">
        <v>1030</v>
      </c>
      <c r="H356" s="107" t="s">
        <v>2844</v>
      </c>
      <c r="I356" s="32"/>
      <c r="J356" s="32"/>
      <c r="K356" s="5"/>
      <c r="L356" s="5"/>
      <c r="M356" s="5" t="s">
        <v>820</v>
      </c>
      <c r="N356" s="5" t="s">
        <v>250</v>
      </c>
      <c r="O356" s="33"/>
      <c r="P356" s="5"/>
      <c r="Q356" s="1"/>
      <c r="R356" s="31"/>
      <c r="S356" s="31"/>
      <c r="T356" s="31" t="s">
        <v>2845</v>
      </c>
      <c r="U356" s="31" t="s">
        <v>2846</v>
      </c>
      <c r="V356" s="31" t="s">
        <v>2847</v>
      </c>
      <c r="W356" s="34">
        <v>1</v>
      </c>
      <c r="X356" s="41" t="s">
        <v>1848</v>
      </c>
      <c r="Y356" s="5"/>
      <c r="Z356" s="35">
        <v>0</v>
      </c>
      <c r="AA356" s="31" t="s">
        <v>2846</v>
      </c>
      <c r="AB356" s="31" t="s">
        <v>2848</v>
      </c>
      <c r="AC356" s="5" t="s">
        <v>52</v>
      </c>
      <c r="AD356" s="31" t="s">
        <v>259</v>
      </c>
      <c r="AE356" s="36" t="s">
        <v>2799</v>
      </c>
      <c r="AF356" s="31" t="s">
        <v>469</v>
      </c>
      <c r="AG356" s="31"/>
      <c r="AH356" s="31"/>
      <c r="AI356" s="31"/>
      <c r="AJ356" s="31"/>
      <c r="AK356" s="31" t="s">
        <v>1036</v>
      </c>
      <c r="AL356" s="5" t="s">
        <v>2802</v>
      </c>
      <c r="AM356" s="31"/>
      <c r="AN356" s="31"/>
      <c r="AO356" s="31"/>
      <c r="AP356" s="31"/>
      <c r="AQ356" s="31"/>
      <c r="AR356" s="31"/>
      <c r="AS356" s="30"/>
      <c r="AT356" s="37">
        <v>44</v>
      </c>
      <c r="AU356" s="37"/>
      <c r="AV356" s="37"/>
      <c r="AW356" s="37"/>
      <c r="AX356" s="37"/>
      <c r="AY356" s="38"/>
      <c r="AZ356" s="38"/>
      <c r="BA356" s="38"/>
      <c r="BB356" s="46"/>
      <c r="BC356" s="37"/>
      <c r="BD356" s="37"/>
      <c r="BE356" s="5"/>
      <c r="BF356" s="5"/>
      <c r="BG356" s="47" t="s">
        <v>2849</v>
      </c>
      <c r="BH356" s="47"/>
      <c r="BI356" s="31" t="s">
        <v>2849</v>
      </c>
      <c r="BJ356" s="48"/>
      <c r="BK356" s="49">
        <v>1</v>
      </c>
    </row>
    <row x14ac:dyDescent="0.25" r="357" customHeight="1" ht="31.5">
      <c r="A357" s="30">
        <v>30014</v>
      </c>
      <c r="B357" s="5" t="s">
        <v>2850</v>
      </c>
      <c r="C357" s="31" t="s">
        <v>2851</v>
      </c>
      <c r="D357" s="31" t="s">
        <v>2852</v>
      </c>
      <c r="E357" s="5"/>
      <c r="F357" s="5" t="s">
        <v>226</v>
      </c>
      <c r="G357" s="5" t="s">
        <v>1030</v>
      </c>
      <c r="H357" s="107" t="s">
        <v>2853</v>
      </c>
      <c r="I357" s="32"/>
      <c r="J357" s="32"/>
      <c r="K357" s="5"/>
      <c r="L357" s="5"/>
      <c r="M357" s="5" t="s">
        <v>820</v>
      </c>
      <c r="N357" s="5" t="s">
        <v>250</v>
      </c>
      <c r="O357" s="33"/>
      <c r="P357" s="5"/>
      <c r="Q357" s="1" t="s">
        <v>233</v>
      </c>
      <c r="R357" s="31" t="s">
        <v>233</v>
      </c>
      <c r="S357" s="31"/>
      <c r="T357" s="31" t="s">
        <v>2854</v>
      </c>
      <c r="U357" s="31" t="s">
        <v>2855</v>
      </c>
      <c r="V357" s="5"/>
      <c r="W357" s="40">
        <v>1</v>
      </c>
      <c r="X357" s="41" t="s">
        <v>1848</v>
      </c>
      <c r="Y357" s="42" t="s">
        <v>256</v>
      </c>
      <c r="Z357" s="35">
        <v>0</v>
      </c>
      <c r="AA357" s="31" t="s">
        <v>2856</v>
      </c>
      <c r="AB357" s="31" t="s">
        <v>2857</v>
      </c>
      <c r="AC357" s="5" t="s">
        <v>52</v>
      </c>
      <c r="AD357" s="31" t="s">
        <v>238</v>
      </c>
      <c r="AE357" s="36" t="s">
        <v>2858</v>
      </c>
      <c r="AF357" s="31" t="s">
        <v>2859</v>
      </c>
      <c r="AG357" s="31"/>
      <c r="AH357" s="31"/>
      <c r="AI357" s="31"/>
      <c r="AJ357" s="31" t="s">
        <v>241</v>
      </c>
      <c r="AK357" s="31" t="s">
        <v>238</v>
      </c>
      <c r="AL357" s="5"/>
      <c r="AM357" s="31" t="s">
        <v>2860</v>
      </c>
      <c r="AN357" s="31"/>
      <c r="AO357" s="31"/>
      <c r="AP357" s="31"/>
      <c r="AQ357" s="31"/>
      <c r="AR357" s="31"/>
      <c r="AS357" s="30"/>
      <c r="AT357" s="37">
        <v>46</v>
      </c>
      <c r="AU357" s="37"/>
      <c r="AV357" s="37"/>
      <c r="AW357" s="37"/>
      <c r="AX357" s="37"/>
      <c r="AY357" s="34"/>
      <c r="AZ357" s="38"/>
      <c r="BA357" s="38"/>
      <c r="BB357" s="46"/>
      <c r="BC357" s="37"/>
      <c r="BD357" s="37"/>
      <c r="BE357" s="5"/>
      <c r="BF357" s="5"/>
      <c r="BG357" s="31" t="s">
        <v>2861</v>
      </c>
      <c r="BH357" s="31"/>
      <c r="BI357" s="31" t="s">
        <v>2861</v>
      </c>
      <c r="BJ357" s="48"/>
      <c r="BK357" s="49">
        <v>1</v>
      </c>
    </row>
    <row x14ac:dyDescent="0.25" r="358" customHeight="1" ht="31.5">
      <c r="A358" s="30" t="s">
        <v>2862</v>
      </c>
      <c r="B358" s="5" t="s">
        <v>2863</v>
      </c>
      <c r="C358" s="31" t="s">
        <v>2864</v>
      </c>
      <c r="D358" s="31" t="s">
        <v>2864</v>
      </c>
      <c r="E358" s="5"/>
      <c r="F358" s="5" t="s">
        <v>1953</v>
      </c>
      <c r="G358" s="5" t="s">
        <v>2865</v>
      </c>
      <c r="H358" s="31" t="s">
        <v>2866</v>
      </c>
      <c r="I358" s="32"/>
      <c r="J358" s="32"/>
      <c r="K358" s="5"/>
      <c r="L358" s="5"/>
      <c r="M358" s="5" t="s">
        <v>231</v>
      </c>
      <c r="N358" s="5" t="s">
        <v>386</v>
      </c>
      <c r="O358" s="33"/>
      <c r="P358" s="5"/>
      <c r="Q358" s="1" t="s">
        <v>251</v>
      </c>
      <c r="R358" s="31" t="s">
        <v>755</v>
      </c>
      <c r="S358" s="31"/>
      <c r="T358" s="31"/>
      <c r="U358" s="31" t="s">
        <v>2867</v>
      </c>
      <c r="V358" s="5"/>
      <c r="W358" s="40">
        <v>0</v>
      </c>
      <c r="X358" s="41" t="s">
        <v>386</v>
      </c>
      <c r="Y358" s="42"/>
      <c r="Z358" s="38" t="s">
        <v>386</v>
      </c>
      <c r="AA358" s="31" t="s">
        <v>2864</v>
      </c>
      <c r="AB358" s="31" t="s">
        <v>2868</v>
      </c>
      <c r="AC358" s="5" t="s">
        <v>24</v>
      </c>
      <c r="AD358" s="5" t="s">
        <v>259</v>
      </c>
      <c r="AE358" s="169" t="s">
        <v>1957</v>
      </c>
      <c r="AF358" s="5" t="s">
        <v>292</v>
      </c>
      <c r="AG358" s="5" t="s">
        <v>61</v>
      </c>
      <c r="AH358" s="5"/>
      <c r="AI358" s="5"/>
      <c r="AJ358" s="5" t="s">
        <v>262</v>
      </c>
      <c r="AK358" s="5" t="s">
        <v>259</v>
      </c>
      <c r="AL358" s="31"/>
      <c r="AM358" s="31"/>
      <c r="AN358" s="31"/>
      <c r="AO358" s="31"/>
      <c r="AP358" s="31"/>
      <c r="AQ358" s="31"/>
      <c r="AR358" s="31"/>
      <c r="AS358" s="30">
        <v>128</v>
      </c>
      <c r="AT358" s="37"/>
      <c r="AU358" s="37"/>
      <c r="AV358" s="37"/>
      <c r="AW358" s="37">
        <v>38</v>
      </c>
      <c r="AX358" s="37"/>
      <c r="AY358" s="38"/>
      <c r="AZ358" s="38"/>
      <c r="BA358" s="38"/>
      <c r="BB358" s="46"/>
      <c r="BC358" s="37"/>
      <c r="BD358" s="37"/>
      <c r="BE358" s="5"/>
      <c r="BF358" s="5"/>
      <c r="BG358" s="31"/>
      <c r="BH358" s="31"/>
      <c r="BI358" s="31"/>
      <c r="BJ358" s="48"/>
      <c r="BK358" s="49"/>
    </row>
    <row x14ac:dyDescent="0.25" r="359" customHeight="1" ht="31.5">
      <c r="A359" s="30" t="s">
        <v>2869</v>
      </c>
      <c r="B359" s="5" t="s">
        <v>2870</v>
      </c>
      <c r="C359" s="31" t="s">
        <v>2871</v>
      </c>
      <c r="D359" s="31" t="s">
        <v>2871</v>
      </c>
      <c r="E359" s="5"/>
      <c r="F359" s="5" t="s">
        <v>1953</v>
      </c>
      <c r="G359" s="5" t="s">
        <v>247</v>
      </c>
      <c r="H359" s="31" t="s">
        <v>2872</v>
      </c>
      <c r="I359" s="32"/>
      <c r="J359" s="32"/>
      <c r="K359" s="5"/>
      <c r="L359" s="5"/>
      <c r="M359" s="5" t="s">
        <v>231</v>
      </c>
      <c r="N359" s="5"/>
      <c r="O359" s="33"/>
      <c r="P359" s="5"/>
      <c r="Q359" s="1" t="s">
        <v>251</v>
      </c>
      <c r="R359" s="31"/>
      <c r="S359" s="31"/>
      <c r="T359" s="31"/>
      <c r="U359" s="31" t="s">
        <v>2873</v>
      </c>
      <c r="V359" s="5"/>
      <c r="W359" s="40">
        <v>0</v>
      </c>
      <c r="X359" s="41" t="s">
        <v>386</v>
      </c>
      <c r="Y359" s="42"/>
      <c r="Z359" s="38" t="s">
        <v>386</v>
      </c>
      <c r="AA359" s="31" t="s">
        <v>2871</v>
      </c>
      <c r="AB359" s="31" t="s">
        <v>2874</v>
      </c>
      <c r="AC359" s="5" t="s">
        <v>24</v>
      </c>
      <c r="AD359" s="5" t="s">
        <v>259</v>
      </c>
      <c r="AE359" s="169" t="s">
        <v>1957</v>
      </c>
      <c r="AF359" s="5" t="s">
        <v>292</v>
      </c>
      <c r="AG359" s="5" t="s">
        <v>73</v>
      </c>
      <c r="AH359" s="5"/>
      <c r="AI359" s="5"/>
      <c r="AJ359" s="5" t="s">
        <v>262</v>
      </c>
      <c r="AK359" s="5" t="s">
        <v>259</v>
      </c>
      <c r="AL359" s="31"/>
      <c r="AM359" s="31"/>
      <c r="AN359" s="31"/>
      <c r="AO359" s="31"/>
      <c r="AP359" s="31"/>
      <c r="AQ359" s="31"/>
      <c r="AR359" s="31"/>
      <c r="AS359" s="30">
        <v>129</v>
      </c>
      <c r="AT359" s="37"/>
      <c r="AU359" s="37"/>
      <c r="AV359" s="37"/>
      <c r="AW359" s="37">
        <v>39</v>
      </c>
      <c r="AX359" s="37"/>
      <c r="AY359" s="38"/>
      <c r="AZ359" s="38"/>
      <c r="BA359" s="38"/>
      <c r="BB359" s="46"/>
      <c r="BC359" s="37"/>
      <c r="BD359" s="37"/>
      <c r="BE359" s="5"/>
      <c r="BF359" s="5"/>
      <c r="BG359" s="31"/>
      <c r="BH359" s="31"/>
      <c r="BI359" s="31"/>
      <c r="BJ359" s="48"/>
      <c r="BK359" s="49"/>
    </row>
    <row x14ac:dyDescent="0.25" r="360" customHeight="1" ht="31.5">
      <c r="A360" s="30" t="s">
        <v>2875</v>
      </c>
      <c r="B360" s="5" t="s">
        <v>2876</v>
      </c>
      <c r="C360" s="31" t="s">
        <v>2877</v>
      </c>
      <c r="D360" s="31" t="s">
        <v>2878</v>
      </c>
      <c r="E360" s="5"/>
      <c r="F360" s="5" t="s">
        <v>226</v>
      </c>
      <c r="G360" s="5" t="s">
        <v>247</v>
      </c>
      <c r="H360" s="31" t="s">
        <v>2879</v>
      </c>
      <c r="I360" s="32"/>
      <c r="J360" s="32"/>
      <c r="K360" s="5"/>
      <c r="L360" s="5"/>
      <c r="M360" s="5" t="s">
        <v>231</v>
      </c>
      <c r="N360" s="5" t="s">
        <v>250</v>
      </c>
      <c r="O360" s="33"/>
      <c r="P360" s="5"/>
      <c r="Q360" s="1" t="s">
        <v>251</v>
      </c>
      <c r="R360" s="31" t="s">
        <v>286</v>
      </c>
      <c r="S360" s="31"/>
      <c r="T360" s="31" t="s">
        <v>2880</v>
      </c>
      <c r="U360" s="31" t="s">
        <v>2881</v>
      </c>
      <c r="V360" s="5"/>
      <c r="W360" s="40">
        <v>0</v>
      </c>
      <c r="X360" s="41" t="s">
        <v>386</v>
      </c>
      <c r="Y360" s="42" t="s">
        <v>256</v>
      </c>
      <c r="Z360" s="38" t="s">
        <v>386</v>
      </c>
      <c r="AA360" s="31"/>
      <c r="AB360" s="31" t="s">
        <v>2882</v>
      </c>
      <c r="AC360" s="5" t="s">
        <v>52</v>
      </c>
      <c r="AD360" s="31" t="s">
        <v>238</v>
      </c>
      <c r="AE360" s="36" t="s">
        <v>1872</v>
      </c>
      <c r="AF360" s="31" t="s">
        <v>2882</v>
      </c>
      <c r="AG360" s="31"/>
      <c r="AH360" s="31"/>
      <c r="AI360" s="31"/>
      <c r="AJ360" s="31" t="s">
        <v>241</v>
      </c>
      <c r="AK360" s="31" t="s">
        <v>238</v>
      </c>
      <c r="AL360" s="5"/>
      <c r="AM360" s="5"/>
      <c r="AN360" s="5"/>
      <c r="AO360" s="5"/>
      <c r="AP360" s="5"/>
      <c r="AQ360" s="31"/>
      <c r="AR360" s="31"/>
      <c r="AS360" s="30"/>
      <c r="AT360" s="37"/>
      <c r="AU360" s="37"/>
      <c r="AV360" s="37"/>
      <c r="AW360" s="37">
        <v>6</v>
      </c>
      <c r="AX360" s="37"/>
      <c r="AY360" s="38"/>
      <c r="AZ360" s="38"/>
      <c r="BA360" s="38"/>
      <c r="BB360" s="46"/>
      <c r="BC360" s="37"/>
      <c r="BD360" s="37"/>
      <c r="BE360" s="5"/>
      <c r="BF360" s="5"/>
      <c r="BG360" s="31"/>
      <c r="BH360" s="31"/>
      <c r="BI360" s="31"/>
      <c r="BJ360" s="48"/>
      <c r="BK360" s="49"/>
    </row>
    <row x14ac:dyDescent="0.25" r="361" customHeight="1" ht="31.5">
      <c r="A361" s="30">
        <v>10096</v>
      </c>
      <c r="B361" s="5" t="s">
        <v>2883</v>
      </c>
      <c r="C361" s="31" t="s">
        <v>2884</v>
      </c>
      <c r="D361" s="31" t="s">
        <v>2885</v>
      </c>
      <c r="E361" s="5" t="s">
        <v>529</v>
      </c>
      <c r="F361" s="5" t="s">
        <v>226</v>
      </c>
      <c r="G361" s="5" t="s">
        <v>247</v>
      </c>
      <c r="H361" s="31" t="s">
        <v>2886</v>
      </c>
      <c r="I361" s="32"/>
      <c r="J361" s="32"/>
      <c r="K361" s="5"/>
      <c r="L361" s="5"/>
      <c r="M361" s="5" t="s">
        <v>231</v>
      </c>
      <c r="N361" s="5" t="s">
        <v>250</v>
      </c>
      <c r="O361" s="33"/>
      <c r="P361" s="5"/>
      <c r="Q361" s="1" t="s">
        <v>233</v>
      </c>
      <c r="R361" s="31" t="s">
        <v>233</v>
      </c>
      <c r="S361" s="31"/>
      <c r="T361" s="31" t="s">
        <v>1879</v>
      </c>
      <c r="U361" s="31" t="s">
        <v>2887</v>
      </c>
      <c r="V361" s="5"/>
      <c r="W361" s="40">
        <v>1</v>
      </c>
      <c r="X361" s="41" t="s">
        <v>255</v>
      </c>
      <c r="Y361" s="42" t="s">
        <v>256</v>
      </c>
      <c r="Z361" s="35">
        <v>0</v>
      </c>
      <c r="AA361" s="31" t="s">
        <v>2888</v>
      </c>
      <c r="AB361" s="31" t="s">
        <v>2889</v>
      </c>
      <c r="AC361" s="5" t="s">
        <v>52</v>
      </c>
      <c r="AD361" s="31" t="s">
        <v>238</v>
      </c>
      <c r="AE361" s="36" t="s">
        <v>1872</v>
      </c>
      <c r="AF361" s="31" t="s">
        <v>2889</v>
      </c>
      <c r="AG361" s="31"/>
      <c r="AH361" s="31"/>
      <c r="AI361" s="31"/>
      <c r="AJ361" s="31" t="s">
        <v>241</v>
      </c>
      <c r="AK361" s="31" t="s">
        <v>238</v>
      </c>
      <c r="AL361" s="31"/>
      <c r="AM361" s="31"/>
      <c r="AN361" s="31"/>
      <c r="AO361" s="31"/>
      <c r="AP361" s="31"/>
      <c r="AQ361" s="31"/>
      <c r="AR361" s="31"/>
      <c r="AS361" s="30"/>
      <c r="AT361" s="37"/>
      <c r="AU361" s="37"/>
      <c r="AV361" s="37"/>
      <c r="AW361" s="37">
        <v>26</v>
      </c>
      <c r="AX361" s="37"/>
      <c r="AY361" s="38"/>
      <c r="AZ361" s="38"/>
      <c r="BA361" s="38"/>
      <c r="BB361" s="46" t="s">
        <v>529</v>
      </c>
      <c r="BC361" s="37"/>
      <c r="BD361" s="37"/>
      <c r="BE361" s="5"/>
      <c r="BF361" s="5"/>
      <c r="BG361" s="31" t="s">
        <v>2890</v>
      </c>
      <c r="BH361" s="31"/>
      <c r="BI361" s="31" t="s">
        <v>2887</v>
      </c>
      <c r="BJ361" s="48"/>
      <c r="BK361" s="49">
        <v>1</v>
      </c>
    </row>
    <row x14ac:dyDescent="0.25" r="362" customHeight="1" ht="31.5">
      <c r="A362" s="30">
        <v>10098</v>
      </c>
      <c r="B362" s="5" t="s">
        <v>2891</v>
      </c>
      <c r="C362" s="31" t="s">
        <v>2892</v>
      </c>
      <c r="D362" s="31" t="s">
        <v>2893</v>
      </c>
      <c r="E362" s="5"/>
      <c r="F362" s="5" t="s">
        <v>226</v>
      </c>
      <c r="G362" s="5" t="s">
        <v>247</v>
      </c>
      <c r="H362" s="31" t="s">
        <v>2894</v>
      </c>
      <c r="I362" s="32"/>
      <c r="J362" s="32"/>
      <c r="K362" s="5"/>
      <c r="L362" s="5"/>
      <c r="M362" s="5" t="s">
        <v>231</v>
      </c>
      <c r="N362" s="5" t="s">
        <v>250</v>
      </c>
      <c r="O362" s="33"/>
      <c r="P362" s="5"/>
      <c r="Q362" s="1" t="s">
        <v>233</v>
      </c>
      <c r="R362" s="31" t="s">
        <v>233</v>
      </c>
      <c r="S362" s="31"/>
      <c r="T362" s="31" t="s">
        <v>2895</v>
      </c>
      <c r="U362" s="31" t="s">
        <v>2896</v>
      </c>
      <c r="V362" s="5"/>
      <c r="W362" s="40">
        <v>1</v>
      </c>
      <c r="X362" s="41" t="s">
        <v>255</v>
      </c>
      <c r="Y362" s="42" t="s">
        <v>256</v>
      </c>
      <c r="Z362" s="35">
        <v>0</v>
      </c>
      <c r="AA362" s="31" t="s">
        <v>2897</v>
      </c>
      <c r="AB362" s="31" t="s">
        <v>2898</v>
      </c>
      <c r="AC362" s="5" t="s">
        <v>52</v>
      </c>
      <c r="AD362" s="31" t="s">
        <v>238</v>
      </c>
      <c r="AE362" s="36" t="s">
        <v>2899</v>
      </c>
      <c r="AF362" s="31" t="s">
        <v>2898</v>
      </c>
      <c r="AG362" s="31"/>
      <c r="AH362" s="31"/>
      <c r="AI362" s="31"/>
      <c r="AJ362" s="31" t="s">
        <v>241</v>
      </c>
      <c r="AK362" s="31" t="s">
        <v>238</v>
      </c>
      <c r="AL362" s="31"/>
      <c r="AM362" s="31"/>
      <c r="AN362" s="31"/>
      <c r="AO362" s="31"/>
      <c r="AP362" s="31"/>
      <c r="AQ362" s="31"/>
      <c r="AR362" s="31"/>
      <c r="AS362" s="30"/>
      <c r="AT362" s="37"/>
      <c r="AU362" s="37"/>
      <c r="AV362" s="37"/>
      <c r="AW362" s="37">
        <v>27</v>
      </c>
      <c r="AX362" s="37"/>
      <c r="AY362" s="38"/>
      <c r="AZ362" s="38"/>
      <c r="BA362" s="38"/>
      <c r="BB362" s="46"/>
      <c r="BC362" s="37"/>
      <c r="BD362" s="37"/>
      <c r="BE362" s="5"/>
      <c r="BF362" s="5"/>
      <c r="BG362" s="31" t="s">
        <v>2900</v>
      </c>
      <c r="BH362" s="31"/>
      <c r="BI362" s="31" t="s">
        <v>2900</v>
      </c>
      <c r="BJ362" s="48"/>
      <c r="BK362" s="49">
        <v>1</v>
      </c>
    </row>
    <row x14ac:dyDescent="0.25" r="363" customHeight="1" ht="31.5">
      <c r="A363" s="30">
        <v>10102</v>
      </c>
      <c r="B363" s="5" t="s">
        <v>2901</v>
      </c>
      <c r="C363" s="31" t="s">
        <v>2902</v>
      </c>
      <c r="D363" s="31" t="s">
        <v>2903</v>
      </c>
      <c r="E363" s="5"/>
      <c r="F363" s="5" t="s">
        <v>226</v>
      </c>
      <c r="G363" s="5" t="s">
        <v>247</v>
      </c>
      <c r="H363" s="31" t="s">
        <v>2904</v>
      </c>
      <c r="I363" s="32"/>
      <c r="J363" s="32"/>
      <c r="K363" s="5"/>
      <c r="L363" s="5"/>
      <c r="M363" s="5" t="s">
        <v>231</v>
      </c>
      <c r="N363" s="5" t="s">
        <v>250</v>
      </c>
      <c r="O363" s="33"/>
      <c r="P363" s="5"/>
      <c r="Q363" s="1" t="s">
        <v>233</v>
      </c>
      <c r="R363" s="31" t="s">
        <v>233</v>
      </c>
      <c r="S363" s="31"/>
      <c r="T363" s="31" t="s">
        <v>1879</v>
      </c>
      <c r="U363" s="31" t="s">
        <v>2905</v>
      </c>
      <c r="V363" s="5"/>
      <c r="W363" s="40">
        <v>1</v>
      </c>
      <c r="X363" s="41" t="s">
        <v>255</v>
      </c>
      <c r="Y363" s="42" t="s">
        <v>256</v>
      </c>
      <c r="Z363" s="35">
        <v>0</v>
      </c>
      <c r="AA363" s="31" t="s">
        <v>2906</v>
      </c>
      <c r="AB363" s="31" t="s">
        <v>2907</v>
      </c>
      <c r="AC363" s="5" t="s">
        <v>52</v>
      </c>
      <c r="AD363" s="31" t="s">
        <v>238</v>
      </c>
      <c r="AE363" s="36" t="s">
        <v>2908</v>
      </c>
      <c r="AF363" s="31" t="s">
        <v>292</v>
      </c>
      <c r="AG363" s="31" t="s">
        <v>48</v>
      </c>
      <c r="AH363" s="31"/>
      <c r="AI363" s="31"/>
      <c r="AJ363" s="31" t="s">
        <v>241</v>
      </c>
      <c r="AK363" s="31" t="s">
        <v>238</v>
      </c>
      <c r="AL363" s="31"/>
      <c r="AM363" s="31"/>
      <c r="AN363" s="31"/>
      <c r="AO363" s="31"/>
      <c r="AP363" s="31"/>
      <c r="AQ363" s="31"/>
      <c r="AR363" s="31"/>
      <c r="AS363" s="30"/>
      <c r="AT363" s="37"/>
      <c r="AU363" s="37"/>
      <c r="AV363" s="37"/>
      <c r="AW363" s="37">
        <v>31</v>
      </c>
      <c r="AX363" s="37"/>
      <c r="AY363" s="38"/>
      <c r="AZ363" s="38"/>
      <c r="BA363" s="38"/>
      <c r="BB363" s="46"/>
      <c r="BC363" s="37"/>
      <c r="BD363" s="37"/>
      <c r="BE363" s="5"/>
      <c r="BF363" s="5"/>
      <c r="BG363" s="47" t="s">
        <v>2909</v>
      </c>
      <c r="BH363" s="47"/>
      <c r="BI363" s="31" t="s">
        <v>2909</v>
      </c>
      <c r="BJ363" s="48" t="s">
        <v>242</v>
      </c>
      <c r="BK363" s="49">
        <v>1</v>
      </c>
    </row>
    <row x14ac:dyDescent="0.25" r="364" customHeight="1" ht="31.5">
      <c r="A364" s="30">
        <v>10100</v>
      </c>
      <c r="B364" s="5" t="s">
        <v>2910</v>
      </c>
      <c r="C364" s="31" t="s">
        <v>2911</v>
      </c>
      <c r="D364" s="31" t="s">
        <v>2912</v>
      </c>
      <c r="E364" s="5"/>
      <c r="F364" s="5" t="s">
        <v>226</v>
      </c>
      <c r="G364" s="5" t="s">
        <v>247</v>
      </c>
      <c r="H364" s="31" t="s">
        <v>2913</v>
      </c>
      <c r="I364" s="32"/>
      <c r="J364" s="32"/>
      <c r="K364" s="5"/>
      <c r="L364" s="5"/>
      <c r="M364" s="5" t="s">
        <v>231</v>
      </c>
      <c r="N364" s="5" t="s">
        <v>250</v>
      </c>
      <c r="O364" s="33"/>
      <c r="P364" s="5"/>
      <c r="Q364" s="1" t="s">
        <v>233</v>
      </c>
      <c r="R364" s="31" t="s">
        <v>233</v>
      </c>
      <c r="S364" s="31"/>
      <c r="T364" s="31" t="s">
        <v>1879</v>
      </c>
      <c r="U364" s="31" t="s">
        <v>2914</v>
      </c>
      <c r="V364" s="5"/>
      <c r="W364" s="40">
        <v>1</v>
      </c>
      <c r="X364" s="41" t="s">
        <v>255</v>
      </c>
      <c r="Y364" s="42" t="s">
        <v>256</v>
      </c>
      <c r="Z364" s="35">
        <v>0</v>
      </c>
      <c r="AA364" s="31" t="s">
        <v>2915</v>
      </c>
      <c r="AB364" s="31" t="s">
        <v>2916</v>
      </c>
      <c r="AC364" s="5" t="s">
        <v>52</v>
      </c>
      <c r="AD364" s="31" t="s">
        <v>238</v>
      </c>
      <c r="AE364" s="36" t="s">
        <v>2908</v>
      </c>
      <c r="AF364" s="31" t="s">
        <v>292</v>
      </c>
      <c r="AG364" s="31" t="s">
        <v>20</v>
      </c>
      <c r="AH364" s="31"/>
      <c r="AI364" s="31"/>
      <c r="AJ364" s="31" t="s">
        <v>241</v>
      </c>
      <c r="AK364" s="31" t="s">
        <v>238</v>
      </c>
      <c r="AL364" s="31"/>
      <c r="AM364" s="31"/>
      <c r="AN364" s="31"/>
      <c r="AO364" s="31"/>
      <c r="AP364" s="31"/>
      <c r="AQ364" s="31"/>
      <c r="AR364" s="31"/>
      <c r="AS364" s="30"/>
      <c r="AT364" s="37"/>
      <c r="AU364" s="37"/>
      <c r="AV364" s="37"/>
      <c r="AW364" s="37">
        <v>29</v>
      </c>
      <c r="AX364" s="37"/>
      <c r="AY364" s="38"/>
      <c r="AZ364" s="38"/>
      <c r="BA364" s="38"/>
      <c r="BB364" s="46"/>
      <c r="BC364" s="37"/>
      <c r="BD364" s="37"/>
      <c r="BE364" s="5"/>
      <c r="BF364" s="5"/>
      <c r="BG364" s="47" t="s">
        <v>2917</v>
      </c>
      <c r="BH364" s="47"/>
      <c r="BI364" s="31" t="s">
        <v>2917</v>
      </c>
      <c r="BJ364" s="48"/>
      <c r="BK364" s="49">
        <v>1</v>
      </c>
    </row>
    <row x14ac:dyDescent="0.25" r="365" customHeight="1" ht="31.5">
      <c r="A365" s="30">
        <v>10101</v>
      </c>
      <c r="B365" s="5" t="s">
        <v>2918</v>
      </c>
      <c r="C365" s="31" t="s">
        <v>2919</v>
      </c>
      <c r="D365" s="31" t="s">
        <v>2920</v>
      </c>
      <c r="E365" s="5"/>
      <c r="F365" s="5" t="s">
        <v>226</v>
      </c>
      <c r="G365" s="5" t="s">
        <v>247</v>
      </c>
      <c r="H365" s="31" t="s">
        <v>2921</v>
      </c>
      <c r="I365" s="32"/>
      <c r="J365" s="32"/>
      <c r="K365" s="5"/>
      <c r="L365" s="5"/>
      <c r="M365" s="5" t="s">
        <v>231</v>
      </c>
      <c r="N365" s="5" t="s">
        <v>250</v>
      </c>
      <c r="O365" s="33"/>
      <c r="P365" s="5"/>
      <c r="Q365" s="1" t="s">
        <v>233</v>
      </c>
      <c r="R365" s="31" t="s">
        <v>233</v>
      </c>
      <c r="S365" s="31"/>
      <c r="T365" s="31" t="s">
        <v>1879</v>
      </c>
      <c r="U365" s="31" t="s">
        <v>2922</v>
      </c>
      <c r="V365" s="5"/>
      <c r="W365" s="40">
        <v>1</v>
      </c>
      <c r="X365" s="41" t="s">
        <v>255</v>
      </c>
      <c r="Y365" s="42" t="s">
        <v>256</v>
      </c>
      <c r="Z365" s="35">
        <v>0</v>
      </c>
      <c r="AA365" s="31" t="s">
        <v>2923</v>
      </c>
      <c r="AB365" s="31" t="s">
        <v>2924</v>
      </c>
      <c r="AC365" s="5" t="s">
        <v>52</v>
      </c>
      <c r="AD365" s="31" t="s">
        <v>238</v>
      </c>
      <c r="AE365" s="36" t="s">
        <v>2908</v>
      </c>
      <c r="AF365" s="31" t="s">
        <v>292</v>
      </c>
      <c r="AG365" s="31" t="s">
        <v>34</v>
      </c>
      <c r="AH365" s="31"/>
      <c r="AI365" s="31"/>
      <c r="AJ365" s="31" t="s">
        <v>241</v>
      </c>
      <c r="AK365" s="31" t="s">
        <v>238</v>
      </c>
      <c r="AL365" s="31"/>
      <c r="AM365" s="31"/>
      <c r="AN365" s="31"/>
      <c r="AO365" s="31"/>
      <c r="AP365" s="31"/>
      <c r="AQ365" s="31"/>
      <c r="AR365" s="31"/>
      <c r="AS365" s="30"/>
      <c r="AT365" s="37"/>
      <c r="AU365" s="37"/>
      <c r="AV365" s="37"/>
      <c r="AW365" s="37">
        <v>30</v>
      </c>
      <c r="AX365" s="37"/>
      <c r="AY365" s="38"/>
      <c r="AZ365" s="38"/>
      <c r="BA365" s="38"/>
      <c r="BB365" s="46"/>
      <c r="BC365" s="37"/>
      <c r="BD365" s="37"/>
      <c r="BE365" s="5"/>
      <c r="BF365" s="5"/>
      <c r="BG365" s="47" t="s">
        <v>2925</v>
      </c>
      <c r="BH365" s="47"/>
      <c r="BI365" s="31" t="s">
        <v>2925</v>
      </c>
      <c r="BJ365" s="48"/>
      <c r="BK365" s="49">
        <v>1</v>
      </c>
    </row>
    <row x14ac:dyDescent="0.25" r="366" customHeight="1" ht="31.5">
      <c r="A366" s="30">
        <v>10108</v>
      </c>
      <c r="B366" s="5" t="s">
        <v>2926</v>
      </c>
      <c r="C366" s="31" t="s">
        <v>2927</v>
      </c>
      <c r="D366" s="31" t="s">
        <v>2928</v>
      </c>
      <c r="E366" s="5"/>
      <c r="F366" s="5" t="s">
        <v>226</v>
      </c>
      <c r="G366" s="5" t="s">
        <v>247</v>
      </c>
      <c r="H366" s="31" t="s">
        <v>2929</v>
      </c>
      <c r="I366" s="32"/>
      <c r="J366" s="32"/>
      <c r="K366" s="5"/>
      <c r="L366" s="5"/>
      <c r="M366" s="5" t="s">
        <v>231</v>
      </c>
      <c r="N366" s="5" t="s">
        <v>250</v>
      </c>
      <c r="O366" s="33"/>
      <c r="P366" s="5"/>
      <c r="Q366" s="1" t="s">
        <v>233</v>
      </c>
      <c r="R366" s="31" t="s">
        <v>233</v>
      </c>
      <c r="S366" s="31"/>
      <c r="T366" s="31"/>
      <c r="U366" s="31" t="s">
        <v>2930</v>
      </c>
      <c r="V366" s="5"/>
      <c r="W366" s="40">
        <v>1</v>
      </c>
      <c r="X366" s="41" t="s">
        <v>255</v>
      </c>
      <c r="Y366" s="42" t="s">
        <v>256</v>
      </c>
      <c r="Z366" s="35">
        <v>0</v>
      </c>
      <c r="AA366" s="31" t="s">
        <v>2931</v>
      </c>
      <c r="AB366" s="31" t="s">
        <v>2932</v>
      </c>
      <c r="AC366" s="5" t="s">
        <v>52</v>
      </c>
      <c r="AD366" s="31" t="s">
        <v>238</v>
      </c>
      <c r="AE366" s="36" t="s">
        <v>2908</v>
      </c>
      <c r="AF366" s="31" t="s">
        <v>292</v>
      </c>
      <c r="AG366" s="31" t="s">
        <v>72</v>
      </c>
      <c r="AH366" s="31"/>
      <c r="AI366" s="31"/>
      <c r="AJ366" s="31" t="s">
        <v>241</v>
      </c>
      <c r="AK366" s="31" t="s">
        <v>238</v>
      </c>
      <c r="AL366" s="31"/>
      <c r="AM366" s="31"/>
      <c r="AN366" s="31"/>
      <c r="AO366" s="31"/>
      <c r="AP366" s="31"/>
      <c r="AQ366" s="31"/>
      <c r="AR366" s="31"/>
      <c r="AS366" s="30"/>
      <c r="AT366" s="37"/>
      <c r="AU366" s="37"/>
      <c r="AV366" s="37"/>
      <c r="AW366" s="37">
        <v>34</v>
      </c>
      <c r="AX366" s="37"/>
      <c r="AY366" s="38"/>
      <c r="AZ366" s="38"/>
      <c r="BA366" s="38"/>
      <c r="BB366" s="46"/>
      <c r="BC366" s="37"/>
      <c r="BD366" s="37"/>
      <c r="BE366" s="5"/>
      <c r="BF366" s="5"/>
      <c r="BG366" s="47" t="s">
        <v>2933</v>
      </c>
      <c r="BH366" s="47"/>
      <c r="BI366" s="31" t="s">
        <v>2933</v>
      </c>
      <c r="BJ366" s="48"/>
      <c r="BK366" s="49">
        <v>1</v>
      </c>
    </row>
    <row x14ac:dyDescent="0.25" r="367" customHeight="1" ht="31.5">
      <c r="A367" s="30">
        <v>10109</v>
      </c>
      <c r="B367" s="5" t="s">
        <v>2934</v>
      </c>
      <c r="C367" s="31" t="s">
        <v>2935</v>
      </c>
      <c r="D367" s="31" t="s">
        <v>2936</v>
      </c>
      <c r="E367" s="5"/>
      <c r="F367" s="5" t="s">
        <v>226</v>
      </c>
      <c r="G367" s="5" t="s">
        <v>247</v>
      </c>
      <c r="H367" s="31" t="s">
        <v>2937</v>
      </c>
      <c r="I367" s="32"/>
      <c r="J367" s="32"/>
      <c r="K367" s="5"/>
      <c r="L367" s="5"/>
      <c r="M367" s="5" t="s">
        <v>231</v>
      </c>
      <c r="N367" s="5" t="s">
        <v>250</v>
      </c>
      <c r="O367" s="33"/>
      <c r="P367" s="5"/>
      <c r="Q367" s="1" t="s">
        <v>233</v>
      </c>
      <c r="R367" s="31" t="s">
        <v>233</v>
      </c>
      <c r="S367" s="31"/>
      <c r="T367" s="31"/>
      <c r="U367" s="31" t="s">
        <v>2938</v>
      </c>
      <c r="V367" s="5"/>
      <c r="W367" s="40">
        <v>1</v>
      </c>
      <c r="X367" s="41" t="s">
        <v>255</v>
      </c>
      <c r="Y367" s="42" t="s">
        <v>256</v>
      </c>
      <c r="Z367" s="35">
        <v>0</v>
      </c>
      <c r="AA367" s="31" t="s">
        <v>2939</v>
      </c>
      <c r="AB367" s="31" t="s">
        <v>2940</v>
      </c>
      <c r="AC367" s="5" t="s">
        <v>52</v>
      </c>
      <c r="AD367" s="31" t="s">
        <v>238</v>
      </c>
      <c r="AE367" s="36" t="s">
        <v>2908</v>
      </c>
      <c r="AF367" s="31" t="s">
        <v>292</v>
      </c>
      <c r="AG367" s="31" t="s">
        <v>84</v>
      </c>
      <c r="AH367" s="31"/>
      <c r="AI367" s="31"/>
      <c r="AJ367" s="31" t="s">
        <v>241</v>
      </c>
      <c r="AK367" s="31" t="s">
        <v>238</v>
      </c>
      <c r="AL367" s="31"/>
      <c r="AM367" s="31"/>
      <c r="AN367" s="31"/>
      <c r="AO367" s="31"/>
      <c r="AP367" s="31"/>
      <c r="AQ367" s="31"/>
      <c r="AR367" s="31"/>
      <c r="AS367" s="30"/>
      <c r="AT367" s="37"/>
      <c r="AU367" s="37"/>
      <c r="AV367" s="37"/>
      <c r="AW367" s="37">
        <v>35</v>
      </c>
      <c r="AX367" s="37"/>
      <c r="AY367" s="38"/>
      <c r="AZ367" s="38"/>
      <c r="BA367" s="38"/>
      <c r="BB367" s="46"/>
      <c r="BC367" s="37"/>
      <c r="BD367" s="37"/>
      <c r="BE367" s="5"/>
      <c r="BF367" s="5"/>
      <c r="BG367" s="47" t="s">
        <v>2941</v>
      </c>
      <c r="BH367" s="47"/>
      <c r="BI367" s="31" t="s">
        <v>2941</v>
      </c>
      <c r="BJ367" s="48"/>
      <c r="BK367" s="49">
        <v>1</v>
      </c>
    </row>
    <row x14ac:dyDescent="0.25" r="368" customHeight="1" ht="31.5">
      <c r="A368" s="30">
        <v>10095</v>
      </c>
      <c r="B368" s="5" t="s">
        <v>2942</v>
      </c>
      <c r="C368" s="31" t="s">
        <v>2943</v>
      </c>
      <c r="D368" s="31" t="s">
        <v>2944</v>
      </c>
      <c r="E368" s="5"/>
      <c r="F368" s="5" t="s">
        <v>226</v>
      </c>
      <c r="G368" s="5" t="s">
        <v>247</v>
      </c>
      <c r="H368" s="31" t="s">
        <v>2945</v>
      </c>
      <c r="I368" s="32"/>
      <c r="J368" s="32"/>
      <c r="K368" s="5"/>
      <c r="L368" s="5"/>
      <c r="M368" s="5" t="s">
        <v>231</v>
      </c>
      <c r="N368" s="5" t="s">
        <v>250</v>
      </c>
      <c r="O368" s="33"/>
      <c r="P368" s="5"/>
      <c r="Q368" s="1" t="s">
        <v>233</v>
      </c>
      <c r="R368" s="31" t="s">
        <v>233</v>
      </c>
      <c r="S368" s="31"/>
      <c r="T368" s="31" t="s">
        <v>2946</v>
      </c>
      <c r="U368" s="31" t="s">
        <v>2947</v>
      </c>
      <c r="V368" s="5"/>
      <c r="W368" s="40">
        <v>1</v>
      </c>
      <c r="X368" s="41" t="s">
        <v>255</v>
      </c>
      <c r="Y368" s="42" t="s">
        <v>256</v>
      </c>
      <c r="Z368" s="35">
        <v>0</v>
      </c>
      <c r="AA368" s="31" t="s">
        <v>2948</v>
      </c>
      <c r="AB368" s="31" t="s">
        <v>2949</v>
      </c>
      <c r="AC368" s="5" t="s">
        <v>52</v>
      </c>
      <c r="AD368" s="31" t="s">
        <v>238</v>
      </c>
      <c r="AE368" s="36" t="s">
        <v>2899</v>
      </c>
      <c r="AF368" s="31" t="s">
        <v>2949</v>
      </c>
      <c r="AG368" s="31"/>
      <c r="AH368" s="31"/>
      <c r="AI368" s="31"/>
      <c r="AJ368" s="31" t="s">
        <v>241</v>
      </c>
      <c r="AK368" s="31" t="s">
        <v>238</v>
      </c>
      <c r="AL368" s="31"/>
      <c r="AM368" s="31"/>
      <c r="AN368" s="31"/>
      <c r="AO368" s="31"/>
      <c r="AP368" s="31"/>
      <c r="AQ368" s="31"/>
      <c r="AR368" s="31"/>
      <c r="AS368" s="30"/>
      <c r="AT368" s="37"/>
      <c r="AU368" s="37"/>
      <c r="AV368" s="37"/>
      <c r="AW368" s="37">
        <v>25</v>
      </c>
      <c r="AX368" s="37"/>
      <c r="AY368" s="38"/>
      <c r="AZ368" s="38"/>
      <c r="BA368" s="38"/>
      <c r="BB368" s="46"/>
      <c r="BC368" s="37"/>
      <c r="BD368" s="37"/>
      <c r="BE368" s="5"/>
      <c r="BF368" s="5"/>
      <c r="BG368" s="31" t="s">
        <v>2950</v>
      </c>
      <c r="BH368" s="31"/>
      <c r="BI368" s="31" t="s">
        <v>2950</v>
      </c>
      <c r="BJ368" s="48"/>
      <c r="BK368" s="49">
        <v>1</v>
      </c>
    </row>
    <row x14ac:dyDescent="0.25" r="369" customHeight="1" ht="31.5">
      <c r="A369" s="30">
        <v>10103</v>
      </c>
      <c r="B369" s="5" t="s">
        <v>2951</v>
      </c>
      <c r="C369" s="31" t="s">
        <v>2952</v>
      </c>
      <c r="D369" s="31" t="s">
        <v>2953</v>
      </c>
      <c r="E369" s="5"/>
      <c r="F369" s="5" t="s">
        <v>226</v>
      </c>
      <c r="G369" s="5" t="s">
        <v>247</v>
      </c>
      <c r="H369" s="31" t="s">
        <v>2954</v>
      </c>
      <c r="I369" s="32"/>
      <c r="J369" s="32"/>
      <c r="K369" s="5"/>
      <c r="L369" s="5"/>
      <c r="M369" s="5" t="s">
        <v>231</v>
      </c>
      <c r="N369" s="5" t="s">
        <v>250</v>
      </c>
      <c r="O369" s="33"/>
      <c r="P369" s="5"/>
      <c r="Q369" s="1" t="s">
        <v>233</v>
      </c>
      <c r="R369" s="31" t="s">
        <v>233</v>
      </c>
      <c r="S369" s="31"/>
      <c r="T369" s="31" t="s">
        <v>1879</v>
      </c>
      <c r="U369" s="31" t="s">
        <v>2955</v>
      </c>
      <c r="V369" s="5"/>
      <c r="W369" s="40">
        <v>1</v>
      </c>
      <c r="X369" s="41" t="s">
        <v>255</v>
      </c>
      <c r="Y369" s="42" t="s">
        <v>256</v>
      </c>
      <c r="Z369" s="35">
        <v>0</v>
      </c>
      <c r="AA369" s="31" t="s">
        <v>2956</v>
      </c>
      <c r="AB369" s="31" t="s">
        <v>2957</v>
      </c>
      <c r="AC369" s="5" t="s">
        <v>52</v>
      </c>
      <c r="AD369" s="31" t="s">
        <v>238</v>
      </c>
      <c r="AE369" s="36" t="s">
        <v>2908</v>
      </c>
      <c r="AF369" s="31" t="s">
        <v>292</v>
      </c>
      <c r="AG369" s="31" t="s">
        <v>60</v>
      </c>
      <c r="AH369" s="31"/>
      <c r="AI369" s="31"/>
      <c r="AJ369" s="31" t="s">
        <v>241</v>
      </c>
      <c r="AK369" s="31" t="s">
        <v>238</v>
      </c>
      <c r="AL369" s="31"/>
      <c r="AM369" s="31"/>
      <c r="AN369" s="31"/>
      <c r="AO369" s="31"/>
      <c r="AP369" s="31"/>
      <c r="AQ369" s="31"/>
      <c r="AR369" s="31"/>
      <c r="AS369" s="30"/>
      <c r="AT369" s="37"/>
      <c r="AU369" s="37"/>
      <c r="AV369" s="37"/>
      <c r="AW369" s="37">
        <v>32</v>
      </c>
      <c r="AX369" s="37"/>
      <c r="AY369" s="38"/>
      <c r="AZ369" s="38"/>
      <c r="BA369" s="38"/>
      <c r="BB369" s="46"/>
      <c r="BC369" s="37"/>
      <c r="BD369" s="37"/>
      <c r="BE369" s="58"/>
      <c r="BF369" s="58"/>
      <c r="BG369" s="47" t="s">
        <v>2958</v>
      </c>
      <c r="BH369" s="47"/>
      <c r="BI369" s="31" t="s">
        <v>2958</v>
      </c>
      <c r="BJ369" s="48"/>
      <c r="BK369" s="49">
        <v>1</v>
      </c>
    </row>
    <row x14ac:dyDescent="0.25" r="370" customHeight="1" ht="76.5">
      <c r="A370" s="30">
        <v>10099</v>
      </c>
      <c r="B370" s="5" t="s">
        <v>2959</v>
      </c>
      <c r="C370" s="31" t="s">
        <v>2960</v>
      </c>
      <c r="D370" s="31" t="s">
        <v>2961</v>
      </c>
      <c r="E370" s="5"/>
      <c r="F370" s="5" t="s">
        <v>226</v>
      </c>
      <c r="G370" s="5" t="s">
        <v>247</v>
      </c>
      <c r="H370" s="31" t="s">
        <v>2962</v>
      </c>
      <c r="I370" s="32"/>
      <c r="J370" s="32"/>
      <c r="K370" s="5"/>
      <c r="L370" s="5"/>
      <c r="M370" s="5" t="s">
        <v>231</v>
      </c>
      <c r="N370" s="5" t="s">
        <v>250</v>
      </c>
      <c r="O370" s="33"/>
      <c r="P370" s="5"/>
      <c r="Q370" s="1" t="s">
        <v>233</v>
      </c>
      <c r="R370" s="31" t="s">
        <v>233</v>
      </c>
      <c r="S370" s="31"/>
      <c r="T370" s="31" t="s">
        <v>1879</v>
      </c>
      <c r="U370" s="31" t="s">
        <v>2963</v>
      </c>
      <c r="V370" s="5"/>
      <c r="W370" s="40">
        <v>1</v>
      </c>
      <c r="X370" s="41" t="s">
        <v>255</v>
      </c>
      <c r="Y370" s="42" t="s">
        <v>256</v>
      </c>
      <c r="Z370" s="35">
        <v>0</v>
      </c>
      <c r="AA370" s="31" t="s">
        <v>2964</v>
      </c>
      <c r="AB370" s="31" t="s">
        <v>524</v>
      </c>
      <c r="AC370" s="5" t="s">
        <v>52</v>
      </c>
      <c r="AD370" s="31" t="s">
        <v>238</v>
      </c>
      <c r="AE370" s="36" t="s">
        <v>1872</v>
      </c>
      <c r="AF370" s="31" t="s">
        <v>524</v>
      </c>
      <c r="AG370" s="31"/>
      <c r="AH370" s="31"/>
      <c r="AI370" s="31"/>
      <c r="AJ370" s="31" t="s">
        <v>241</v>
      </c>
      <c r="AK370" s="31" t="s">
        <v>238</v>
      </c>
      <c r="AL370" s="31"/>
      <c r="AM370" s="31"/>
      <c r="AN370" s="31"/>
      <c r="AO370" s="31"/>
      <c r="AP370" s="31"/>
      <c r="AQ370" s="31"/>
      <c r="AR370" s="31"/>
      <c r="AS370" s="30"/>
      <c r="AT370" s="37"/>
      <c r="AU370" s="37"/>
      <c r="AV370" s="37"/>
      <c r="AW370" s="37">
        <v>28</v>
      </c>
      <c r="AX370" s="37"/>
      <c r="AY370" s="38"/>
      <c r="AZ370" s="38"/>
      <c r="BA370" s="38"/>
      <c r="BB370" s="46"/>
      <c r="BC370" s="37"/>
      <c r="BD370" s="37"/>
      <c r="BE370" s="5"/>
      <c r="BF370" s="5"/>
      <c r="BG370" s="31" t="s">
        <v>2965</v>
      </c>
      <c r="BH370" s="31"/>
      <c r="BI370" s="31" t="s">
        <v>2965</v>
      </c>
      <c r="BJ370" s="48"/>
      <c r="BK370" s="49">
        <v>1</v>
      </c>
    </row>
    <row x14ac:dyDescent="0.25" r="371" customHeight="1" ht="31.5">
      <c r="A371" s="90" t="s">
        <v>2341</v>
      </c>
      <c r="B371" s="92" t="s">
        <v>386</v>
      </c>
      <c r="C371" s="52" t="s">
        <v>2966</v>
      </c>
      <c r="D371" s="52" t="s">
        <v>2967</v>
      </c>
      <c r="E371" s="92"/>
      <c r="F371" s="92" t="s">
        <v>577</v>
      </c>
      <c r="G371" s="52" t="s">
        <v>2968</v>
      </c>
      <c r="H371" s="52" t="s">
        <v>386</v>
      </c>
      <c r="I371" s="52"/>
      <c r="J371" s="52"/>
      <c r="K371" s="92"/>
      <c r="L371" s="92"/>
      <c r="M371" s="92" t="s">
        <v>231</v>
      </c>
      <c r="N371" s="92"/>
      <c r="O371" s="93" t="s">
        <v>386</v>
      </c>
      <c r="P371" s="92" t="s">
        <v>386</v>
      </c>
      <c r="Q371" s="246" t="s">
        <v>2969</v>
      </c>
      <c r="R371" s="52" t="s">
        <v>2970</v>
      </c>
      <c r="S371" s="52" t="s">
        <v>1023</v>
      </c>
      <c r="T371" s="52" t="s">
        <v>2971</v>
      </c>
      <c r="U371" s="52" t="s">
        <v>2972</v>
      </c>
      <c r="V371" s="92"/>
      <c r="W371" s="245">
        <v>1</v>
      </c>
      <c r="X371" s="41" t="s">
        <v>255</v>
      </c>
      <c r="Y371" s="92"/>
      <c r="Z371" s="95">
        <v>1</v>
      </c>
      <c r="AA371" s="52" t="s">
        <v>2966</v>
      </c>
      <c r="AB371" s="52" t="s">
        <v>2973</v>
      </c>
      <c r="AC371" s="5" t="s">
        <v>107</v>
      </c>
      <c r="AD371" s="52" t="s">
        <v>387</v>
      </c>
      <c r="AE371" s="96"/>
      <c r="AF371" s="52" t="s">
        <v>597</v>
      </c>
      <c r="AG371" s="52"/>
      <c r="AH371" s="52"/>
      <c r="AI371" s="52"/>
      <c r="AJ371" s="52"/>
      <c r="AK371" s="52"/>
      <c r="AL371" s="52"/>
      <c r="AM371" s="52"/>
      <c r="AN371" s="52"/>
      <c r="AO371" s="52"/>
      <c r="AP371" s="52"/>
      <c r="AQ371" s="52"/>
      <c r="AR371" s="52"/>
      <c r="AS371" s="90"/>
      <c r="AT371" s="97"/>
      <c r="AU371" s="97">
        <v>3</v>
      </c>
      <c r="AV371" s="97">
        <v>3</v>
      </c>
      <c r="AW371" s="97">
        <v>3</v>
      </c>
      <c r="AX371" s="97">
        <v>3</v>
      </c>
      <c r="AY371" s="94"/>
      <c r="AZ371" s="94"/>
      <c r="BA371" s="94"/>
      <c r="BB371" s="46"/>
      <c r="BC371" s="37"/>
      <c r="BD371" s="37"/>
      <c r="BE371" s="5"/>
      <c r="BF371" s="92"/>
      <c r="BG371" s="52" t="s">
        <v>2972</v>
      </c>
      <c r="BH371" s="31"/>
      <c r="BI371" s="52" t="s">
        <v>2972</v>
      </c>
      <c r="BJ371" s="48"/>
      <c r="BK371" s="49">
        <v>3</v>
      </c>
    </row>
    <row x14ac:dyDescent="0.25" r="372" customHeight="1" ht="31.5">
      <c r="A372" s="30" t="s">
        <v>2974</v>
      </c>
      <c r="B372" s="5" t="s">
        <v>2975</v>
      </c>
      <c r="C372" s="31" t="s">
        <v>2976</v>
      </c>
      <c r="D372" s="31" t="s">
        <v>2977</v>
      </c>
      <c r="E372" s="5"/>
      <c r="F372" s="5" t="s">
        <v>226</v>
      </c>
      <c r="G372" s="5" t="s">
        <v>2978</v>
      </c>
      <c r="H372" s="31" t="s">
        <v>550</v>
      </c>
      <c r="I372" s="32"/>
      <c r="J372" s="32"/>
      <c r="K372" s="5"/>
      <c r="L372" s="5"/>
      <c r="M372" s="5" t="s">
        <v>231</v>
      </c>
      <c r="N372" s="5" t="s">
        <v>250</v>
      </c>
      <c r="O372" s="33"/>
      <c r="P372" s="5"/>
      <c r="Q372" s="1" t="s">
        <v>233</v>
      </c>
      <c r="R372" s="31" t="s">
        <v>233</v>
      </c>
      <c r="S372" s="31"/>
      <c r="T372" s="31" t="s">
        <v>2979</v>
      </c>
      <c r="U372" s="31" t="s">
        <v>2980</v>
      </c>
      <c r="V372" s="5"/>
      <c r="W372" s="40">
        <v>1</v>
      </c>
      <c r="X372" s="41" t="s">
        <v>255</v>
      </c>
      <c r="Y372" s="42" t="s">
        <v>256</v>
      </c>
      <c r="Z372" s="35">
        <v>0</v>
      </c>
      <c r="AA372" s="31"/>
      <c r="AB372" s="31" t="s">
        <v>2981</v>
      </c>
      <c r="AC372" s="5" t="s">
        <v>52</v>
      </c>
      <c r="AD372" s="31" t="s">
        <v>238</v>
      </c>
      <c r="AE372" s="36" t="s">
        <v>1872</v>
      </c>
      <c r="AF372" s="31" t="s">
        <v>2982</v>
      </c>
      <c r="AG372" s="31"/>
      <c r="AH372" s="31"/>
      <c r="AI372" s="31"/>
      <c r="AJ372" s="31" t="s">
        <v>241</v>
      </c>
      <c r="AK372" s="31" t="s">
        <v>238</v>
      </c>
      <c r="AL372" s="31"/>
      <c r="AM372" s="31"/>
      <c r="AN372" s="31"/>
      <c r="AO372" s="31"/>
      <c r="AP372" s="31"/>
      <c r="AQ372" s="31"/>
      <c r="AR372" s="31"/>
      <c r="AS372" s="30"/>
      <c r="AT372" s="37"/>
      <c r="AU372" s="37"/>
      <c r="AV372" s="37"/>
      <c r="AW372" s="37">
        <v>22</v>
      </c>
      <c r="AX372" s="37"/>
      <c r="AY372" s="38"/>
      <c r="AZ372" s="38"/>
      <c r="BA372" s="38"/>
      <c r="BB372" s="46"/>
      <c r="BC372" s="37"/>
      <c r="BD372" s="37"/>
      <c r="BE372" s="5"/>
      <c r="BF372" s="5"/>
      <c r="BG372" s="47" t="s">
        <v>2983</v>
      </c>
      <c r="BH372" s="47"/>
      <c r="BI372" s="31" t="s">
        <v>2983</v>
      </c>
      <c r="BJ372" s="48"/>
      <c r="BK372" s="49">
        <v>1</v>
      </c>
    </row>
    <row x14ac:dyDescent="0.25" r="373" customHeight="1" ht="43.5">
      <c r="A373" s="50" t="s">
        <v>2984</v>
      </c>
      <c r="B373" s="155" t="s">
        <v>2985</v>
      </c>
      <c r="C373" s="51" t="s">
        <v>2986</v>
      </c>
      <c r="D373" s="51" t="s">
        <v>2987</v>
      </c>
      <c r="E373" s="155"/>
      <c r="F373" s="155" t="s">
        <v>577</v>
      </c>
      <c r="G373" s="155" t="s">
        <v>975</v>
      </c>
      <c r="H373" s="51" t="s">
        <v>2988</v>
      </c>
      <c r="I373" s="32"/>
      <c r="J373" s="32"/>
      <c r="K373" s="5"/>
      <c r="L373" s="5"/>
      <c r="M373" s="5" t="s">
        <v>231</v>
      </c>
      <c r="N373" s="5" t="s">
        <v>250</v>
      </c>
      <c r="O373" s="33"/>
      <c r="P373" s="5"/>
      <c r="Q373" s="1" t="s">
        <v>233</v>
      </c>
      <c r="R373" s="31" t="s">
        <v>233</v>
      </c>
      <c r="S373" s="31"/>
      <c r="T373" s="31"/>
      <c r="U373" s="31" t="s">
        <v>2989</v>
      </c>
      <c r="V373" s="5"/>
      <c r="W373" s="40">
        <v>1</v>
      </c>
      <c r="X373" s="41" t="s">
        <v>273</v>
      </c>
      <c r="Y373" s="42"/>
      <c r="Z373" s="35">
        <v>0</v>
      </c>
      <c r="AA373" s="31"/>
      <c r="AB373" s="31" t="s">
        <v>2990</v>
      </c>
      <c r="AC373" s="5" t="s">
        <v>52</v>
      </c>
      <c r="AD373" s="31" t="s">
        <v>238</v>
      </c>
      <c r="AE373" s="36" t="s">
        <v>1851</v>
      </c>
      <c r="AF373" s="31" t="s">
        <v>2990</v>
      </c>
      <c r="AG373" s="31"/>
      <c r="AH373" s="31"/>
      <c r="AI373" s="31"/>
      <c r="AJ373" s="31" t="s">
        <v>241</v>
      </c>
      <c r="AK373" s="31" t="s">
        <v>238</v>
      </c>
      <c r="AL373" s="31"/>
      <c r="AM373" s="31"/>
      <c r="AN373" s="31"/>
      <c r="AO373" s="31"/>
      <c r="AP373" s="31"/>
      <c r="AQ373" s="31"/>
      <c r="AR373" s="31"/>
      <c r="AS373" s="30">
        <v>68</v>
      </c>
      <c r="AT373" s="37"/>
      <c r="AU373" s="37"/>
      <c r="AV373" s="37"/>
      <c r="AW373" s="37"/>
      <c r="AX373" s="37"/>
      <c r="AY373" s="38"/>
      <c r="AZ373" s="38"/>
      <c r="BA373" s="38"/>
      <c r="BB373" s="46"/>
      <c r="BC373" s="37"/>
      <c r="BD373" s="37"/>
      <c r="BE373" s="5"/>
      <c r="BF373" s="5"/>
      <c r="BG373" s="31" t="s">
        <v>2991</v>
      </c>
      <c r="BH373" s="31"/>
      <c r="BI373" s="31" t="s">
        <v>2991</v>
      </c>
      <c r="BJ373" s="48"/>
      <c r="BK373" s="49">
        <v>1</v>
      </c>
    </row>
    <row x14ac:dyDescent="0.25" r="374" customHeight="1" ht="43.5">
      <c r="A374" s="50">
        <v>10147</v>
      </c>
      <c r="B374" s="155" t="s">
        <v>2992</v>
      </c>
      <c r="C374" s="51" t="s">
        <v>2993</v>
      </c>
      <c r="D374" s="51" t="s">
        <v>2994</v>
      </c>
      <c r="E374" s="155" t="s">
        <v>529</v>
      </c>
      <c r="F374" s="155" t="s">
        <v>226</v>
      </c>
      <c r="G374" s="155" t="s">
        <v>975</v>
      </c>
      <c r="H374" s="51" t="s">
        <v>2995</v>
      </c>
      <c r="I374" s="32"/>
      <c r="J374" s="32"/>
      <c r="K374" s="5"/>
      <c r="L374" s="5"/>
      <c r="M374" s="5" t="s">
        <v>231</v>
      </c>
      <c r="N374" s="5" t="s">
        <v>232</v>
      </c>
      <c r="O374" s="33"/>
      <c r="P374" s="5"/>
      <c r="Q374" s="1" t="s">
        <v>233</v>
      </c>
      <c r="R374" s="31" t="s">
        <v>233</v>
      </c>
      <c r="S374" s="31"/>
      <c r="T374" s="31"/>
      <c r="U374" s="31" t="s">
        <v>2996</v>
      </c>
      <c r="V374" s="5"/>
      <c r="W374" s="40">
        <v>1</v>
      </c>
      <c r="X374" s="31" t="s">
        <v>273</v>
      </c>
      <c r="Y374" s="42" t="s">
        <v>256</v>
      </c>
      <c r="Z374" s="35">
        <v>0</v>
      </c>
      <c r="AA374" s="31" t="s">
        <v>2997</v>
      </c>
      <c r="AB374" s="31" t="s">
        <v>2998</v>
      </c>
      <c r="AC374" s="5" t="s">
        <v>52</v>
      </c>
      <c r="AD374" s="31" t="s">
        <v>238</v>
      </c>
      <c r="AE374" s="36" t="s">
        <v>982</v>
      </c>
      <c r="AF374" s="31" t="s">
        <v>292</v>
      </c>
      <c r="AG374" s="31" t="s">
        <v>127</v>
      </c>
      <c r="AH374" s="31" t="s">
        <v>67</v>
      </c>
      <c r="AI374" s="31"/>
      <c r="AJ374" s="31" t="s">
        <v>241</v>
      </c>
      <c r="AK374" s="31" t="s">
        <v>238</v>
      </c>
      <c r="AL374" s="31"/>
      <c r="AM374" s="31"/>
      <c r="AN374" s="31"/>
      <c r="AO374" s="31"/>
      <c r="AP374" s="31"/>
      <c r="AQ374" s="31"/>
      <c r="AR374" s="31"/>
      <c r="AS374" s="30">
        <v>73</v>
      </c>
      <c r="AT374" s="37"/>
      <c r="AU374" s="37"/>
      <c r="AV374" s="37"/>
      <c r="AW374" s="37"/>
      <c r="AX374" s="37"/>
      <c r="AY374" s="38"/>
      <c r="AZ374" s="38"/>
      <c r="BA374" s="38"/>
      <c r="BB374" s="46" t="s">
        <v>529</v>
      </c>
      <c r="BC374" s="37"/>
      <c r="BD374" s="37"/>
      <c r="BE374" s="5"/>
      <c r="BF374" s="5"/>
      <c r="BG374" s="47" t="s">
        <v>2999</v>
      </c>
      <c r="BH374" s="47"/>
      <c r="BI374" s="31" t="s">
        <v>2999</v>
      </c>
      <c r="BJ374" s="48"/>
      <c r="BK374" s="49">
        <v>1</v>
      </c>
    </row>
    <row x14ac:dyDescent="0.25" r="375" customHeight="1" ht="43.5">
      <c r="A375" s="50">
        <v>10156</v>
      </c>
      <c r="B375" s="155" t="s">
        <v>3000</v>
      </c>
      <c r="C375" s="51" t="s">
        <v>3001</v>
      </c>
      <c r="D375" s="51" t="s">
        <v>3002</v>
      </c>
      <c r="E375" s="155" t="s">
        <v>529</v>
      </c>
      <c r="F375" s="155" t="s">
        <v>226</v>
      </c>
      <c r="G375" s="155" t="s">
        <v>975</v>
      </c>
      <c r="H375" s="51" t="s">
        <v>3003</v>
      </c>
      <c r="I375" s="32"/>
      <c r="J375" s="32"/>
      <c r="K375" s="5"/>
      <c r="L375" s="5"/>
      <c r="M375" s="5" t="s">
        <v>231</v>
      </c>
      <c r="N375" s="5" t="s">
        <v>232</v>
      </c>
      <c r="O375" s="33"/>
      <c r="P375" s="5"/>
      <c r="Q375" s="1" t="s">
        <v>233</v>
      </c>
      <c r="R375" s="31" t="s">
        <v>233</v>
      </c>
      <c r="S375" s="31"/>
      <c r="T375" s="31"/>
      <c r="U375" s="31" t="s">
        <v>3004</v>
      </c>
      <c r="V375" s="5"/>
      <c r="W375" s="40">
        <v>1</v>
      </c>
      <c r="X375" s="31" t="s">
        <v>273</v>
      </c>
      <c r="Y375" s="42" t="s">
        <v>256</v>
      </c>
      <c r="Z375" s="35">
        <v>0</v>
      </c>
      <c r="AA375" s="31" t="s">
        <v>3005</v>
      </c>
      <c r="AB375" s="31" t="s">
        <v>3006</v>
      </c>
      <c r="AC375" s="5" t="s">
        <v>52</v>
      </c>
      <c r="AD375" s="31" t="s">
        <v>238</v>
      </c>
      <c r="AE375" s="36" t="s">
        <v>982</v>
      </c>
      <c r="AF375" s="31" t="s">
        <v>292</v>
      </c>
      <c r="AG375" s="31" t="s">
        <v>130</v>
      </c>
      <c r="AH375" s="31" t="s">
        <v>67</v>
      </c>
      <c r="AI375" s="31"/>
      <c r="AJ375" s="31" t="s">
        <v>241</v>
      </c>
      <c r="AK375" s="31" t="s">
        <v>238</v>
      </c>
      <c r="AL375" s="31"/>
      <c r="AM375" s="31"/>
      <c r="AN375" s="31"/>
      <c r="AO375" s="31"/>
      <c r="AP375" s="31"/>
      <c r="AQ375" s="31"/>
      <c r="AR375" s="31"/>
      <c r="AS375" s="30">
        <v>74</v>
      </c>
      <c r="AT375" s="37"/>
      <c r="AU375" s="37"/>
      <c r="AV375" s="37"/>
      <c r="AW375" s="37"/>
      <c r="AX375" s="37"/>
      <c r="AY375" s="38"/>
      <c r="AZ375" s="38"/>
      <c r="BA375" s="38"/>
      <c r="BB375" s="46" t="s">
        <v>529</v>
      </c>
      <c r="BC375" s="37"/>
      <c r="BD375" s="37"/>
      <c r="BE375" s="5"/>
      <c r="BF375" s="5"/>
      <c r="BG375" s="47" t="s">
        <v>3007</v>
      </c>
      <c r="BH375" s="47"/>
      <c r="BI375" s="31" t="s">
        <v>3007</v>
      </c>
      <c r="BJ375" s="48"/>
      <c r="BK375" s="49">
        <v>1</v>
      </c>
    </row>
    <row x14ac:dyDescent="0.25" r="376" customHeight="1" ht="43.5">
      <c r="A376" s="50">
        <v>10157</v>
      </c>
      <c r="B376" s="155" t="s">
        <v>3008</v>
      </c>
      <c r="C376" s="51" t="s">
        <v>3009</v>
      </c>
      <c r="D376" s="51" t="s">
        <v>3010</v>
      </c>
      <c r="E376" s="155" t="s">
        <v>529</v>
      </c>
      <c r="F376" s="155" t="s">
        <v>226</v>
      </c>
      <c r="G376" s="155" t="s">
        <v>975</v>
      </c>
      <c r="H376" s="51" t="s">
        <v>3011</v>
      </c>
      <c r="I376" s="32"/>
      <c r="J376" s="32"/>
      <c r="K376" s="5"/>
      <c r="L376" s="5"/>
      <c r="M376" s="5" t="s">
        <v>231</v>
      </c>
      <c r="N376" s="5" t="s">
        <v>232</v>
      </c>
      <c r="O376" s="33"/>
      <c r="P376" s="5"/>
      <c r="Q376" s="1" t="s">
        <v>233</v>
      </c>
      <c r="R376" s="31" t="s">
        <v>233</v>
      </c>
      <c r="S376" s="31"/>
      <c r="T376" s="31"/>
      <c r="U376" s="31" t="s">
        <v>3012</v>
      </c>
      <c r="V376" s="5"/>
      <c r="W376" s="40">
        <v>1</v>
      </c>
      <c r="X376" s="31" t="s">
        <v>273</v>
      </c>
      <c r="Y376" s="42"/>
      <c r="Z376" s="35">
        <v>0</v>
      </c>
      <c r="AA376" s="31" t="s">
        <v>3013</v>
      </c>
      <c r="AB376" s="31" t="s">
        <v>3014</v>
      </c>
      <c r="AC376" s="5" t="s">
        <v>52</v>
      </c>
      <c r="AD376" s="31" t="s">
        <v>238</v>
      </c>
      <c r="AE376" s="36" t="s">
        <v>982</v>
      </c>
      <c r="AF376" s="31" t="s">
        <v>292</v>
      </c>
      <c r="AG376" s="31" t="s">
        <v>132</v>
      </c>
      <c r="AH376" s="31" t="s">
        <v>67</v>
      </c>
      <c r="AI376" s="31"/>
      <c r="AJ376" s="31" t="s">
        <v>241</v>
      </c>
      <c r="AK376" s="31" t="s">
        <v>238</v>
      </c>
      <c r="AL376" s="31"/>
      <c r="AM376" s="31"/>
      <c r="AN376" s="31"/>
      <c r="AO376" s="31"/>
      <c r="AP376" s="31"/>
      <c r="AQ376" s="31"/>
      <c r="AR376" s="31"/>
      <c r="AS376" s="30">
        <v>75</v>
      </c>
      <c r="AT376" s="37"/>
      <c r="AU376" s="37"/>
      <c r="AV376" s="37"/>
      <c r="AW376" s="37"/>
      <c r="AX376" s="37"/>
      <c r="AY376" s="38"/>
      <c r="AZ376" s="38"/>
      <c r="BA376" s="38"/>
      <c r="BB376" s="46" t="s">
        <v>529</v>
      </c>
      <c r="BC376" s="37"/>
      <c r="BD376" s="37"/>
      <c r="BE376" s="5"/>
      <c r="BF376" s="5"/>
      <c r="BG376" s="47" t="s">
        <v>3015</v>
      </c>
      <c r="BH376" s="47"/>
      <c r="BI376" s="31" t="s">
        <v>3015</v>
      </c>
      <c r="BJ376" s="48"/>
      <c r="BK376" s="49">
        <v>1</v>
      </c>
    </row>
    <row x14ac:dyDescent="0.25" r="377" customHeight="1" ht="43.5">
      <c r="A377" s="50">
        <v>10154</v>
      </c>
      <c r="B377" s="155" t="s">
        <v>3016</v>
      </c>
      <c r="C377" s="51" t="s">
        <v>3017</v>
      </c>
      <c r="D377" s="51" t="s">
        <v>3018</v>
      </c>
      <c r="E377" s="155"/>
      <c r="F377" s="155" t="s">
        <v>577</v>
      </c>
      <c r="G377" s="155" t="s">
        <v>975</v>
      </c>
      <c r="H377" s="51" t="s">
        <v>3019</v>
      </c>
      <c r="I377" s="247"/>
      <c r="J377" s="247"/>
      <c r="K377" s="248"/>
      <c r="L377" s="248"/>
      <c r="M377" s="248" t="s">
        <v>231</v>
      </c>
      <c r="N377" s="248" t="s">
        <v>232</v>
      </c>
      <c r="O377" s="249"/>
      <c r="P377" s="248"/>
      <c r="Q377" s="250" t="s">
        <v>233</v>
      </c>
      <c r="R377" s="251" t="s">
        <v>233</v>
      </c>
      <c r="S377" s="251"/>
      <c r="T377" s="251"/>
      <c r="U377" s="251" t="s">
        <v>3020</v>
      </c>
      <c r="V377" s="248"/>
      <c r="W377" s="252">
        <v>1</v>
      </c>
      <c r="X377" s="251" t="s">
        <v>273</v>
      </c>
      <c r="Y377" s="248" t="s">
        <v>979</v>
      </c>
      <c r="Z377" s="253">
        <v>0</v>
      </c>
      <c r="AA377" s="251" t="s">
        <v>3021</v>
      </c>
      <c r="AB377" s="251" t="s">
        <v>3022</v>
      </c>
      <c r="AC377" s="248" t="s">
        <v>38</v>
      </c>
      <c r="AD377" s="251" t="s">
        <v>238</v>
      </c>
      <c r="AE377" s="254" t="s">
        <v>1851</v>
      </c>
      <c r="AF377" s="251" t="s">
        <v>3022</v>
      </c>
      <c r="AG377" s="251"/>
      <c r="AH377" s="251" t="s">
        <v>27</v>
      </c>
      <c r="AI377" s="251"/>
      <c r="AJ377" s="251" t="s">
        <v>241</v>
      </c>
      <c r="AK377" s="251" t="s">
        <v>238</v>
      </c>
      <c r="AL377" s="251"/>
      <c r="AM377" s="251"/>
      <c r="AN377" s="251"/>
      <c r="AO377" s="251"/>
      <c r="AP377" s="251"/>
      <c r="AQ377" s="251"/>
      <c r="AR377" s="251"/>
      <c r="AS377" s="255">
        <v>76</v>
      </c>
      <c r="AT377" s="256"/>
      <c r="AU377" s="256"/>
      <c r="AV377" s="256"/>
      <c r="AW377" s="256"/>
      <c r="AX377" s="256"/>
      <c r="AY377" s="257"/>
      <c r="AZ377" s="257"/>
      <c r="BA377" s="257"/>
      <c r="BB377" s="248"/>
      <c r="BC377" s="256"/>
      <c r="BD377" s="256"/>
      <c r="BE377" s="248"/>
      <c r="BF377" s="248"/>
      <c r="BG377" s="258" t="s">
        <v>3023</v>
      </c>
      <c r="BH377" s="258"/>
      <c r="BI377" s="251" t="s">
        <v>3023</v>
      </c>
      <c r="BJ377" s="251"/>
      <c r="BK377" s="49">
        <v>1</v>
      </c>
    </row>
    <row x14ac:dyDescent="0.25" r="378" customHeight="1" ht="43.5">
      <c r="A378" s="255">
        <v>10155</v>
      </c>
      <c r="B378" s="248" t="s">
        <v>3024</v>
      </c>
      <c r="C378" s="251" t="s">
        <v>3025</v>
      </c>
      <c r="D378" s="251" t="s">
        <v>3026</v>
      </c>
      <c r="E378" s="248"/>
      <c r="F378" s="248" t="s">
        <v>226</v>
      </c>
      <c r="G378" s="248" t="s">
        <v>975</v>
      </c>
      <c r="H378" s="251" t="s">
        <v>3027</v>
      </c>
      <c r="I378" s="247"/>
      <c r="J378" s="247"/>
      <c r="K378" s="248"/>
      <c r="L378" s="248"/>
      <c r="M378" s="248" t="s">
        <v>231</v>
      </c>
      <c r="N378" s="248" t="s">
        <v>232</v>
      </c>
      <c r="O378" s="249"/>
      <c r="P378" s="248"/>
      <c r="Q378" s="250" t="s">
        <v>233</v>
      </c>
      <c r="R378" s="251" t="s">
        <v>233</v>
      </c>
      <c r="S378" s="251"/>
      <c r="T378" s="251"/>
      <c r="U378" s="251" t="s">
        <v>3028</v>
      </c>
      <c r="V378" s="248"/>
      <c r="W378" s="252">
        <v>1</v>
      </c>
      <c r="X378" s="251" t="s">
        <v>273</v>
      </c>
      <c r="Y378" s="248" t="s">
        <v>256</v>
      </c>
      <c r="Z378" s="253">
        <v>0</v>
      </c>
      <c r="AA378" s="251" t="s">
        <v>3029</v>
      </c>
      <c r="AB378" s="251" t="s">
        <v>3030</v>
      </c>
      <c r="AC378" s="248" t="s">
        <v>52</v>
      </c>
      <c r="AD378" s="251" t="s">
        <v>238</v>
      </c>
      <c r="AE378" s="254" t="s">
        <v>1851</v>
      </c>
      <c r="AF378" s="251" t="s">
        <v>3030</v>
      </c>
      <c r="AG378" s="251"/>
      <c r="AH378" s="251"/>
      <c r="AI378" s="251"/>
      <c r="AJ378" s="251" t="s">
        <v>241</v>
      </c>
      <c r="AK378" s="251" t="s">
        <v>238</v>
      </c>
      <c r="AL378" s="251"/>
      <c r="AM378" s="251"/>
      <c r="AN378" s="251"/>
      <c r="AO378" s="251"/>
      <c r="AP378" s="251"/>
      <c r="AQ378" s="251"/>
      <c r="AR378" s="251"/>
      <c r="AS378" s="255">
        <v>77</v>
      </c>
      <c r="AT378" s="256"/>
      <c r="AU378" s="256"/>
      <c r="AV378" s="256"/>
      <c r="AW378" s="256"/>
      <c r="AX378" s="256"/>
      <c r="AY378" s="257"/>
      <c r="AZ378" s="257"/>
      <c r="BA378" s="257"/>
      <c r="BB378" s="250"/>
      <c r="BC378" s="256"/>
      <c r="BD378" s="256"/>
      <c r="BE378" s="248"/>
      <c r="BF378" s="248"/>
      <c r="BG378" s="258" t="s">
        <v>3031</v>
      </c>
      <c r="BH378" s="258"/>
      <c r="BI378" s="251" t="s">
        <v>3031</v>
      </c>
      <c r="BJ378" s="251"/>
      <c r="BK378" s="49">
        <v>1</v>
      </c>
    </row>
    <row x14ac:dyDescent="0.25" r="379" customHeight="1" ht="31.5">
      <c r="A379" s="50">
        <v>10120</v>
      </c>
      <c r="B379" s="155" t="s">
        <v>3032</v>
      </c>
      <c r="C379" s="51" t="s">
        <v>3033</v>
      </c>
      <c r="D379" s="51" t="s">
        <v>3034</v>
      </c>
      <c r="E379" s="155" t="s">
        <v>529</v>
      </c>
      <c r="F379" s="155" t="s">
        <v>1189</v>
      </c>
      <c r="G379" s="155" t="s">
        <v>975</v>
      </c>
      <c r="H379" s="51" t="s">
        <v>3035</v>
      </c>
      <c r="I379" s="32"/>
      <c r="J379" s="32"/>
      <c r="K379" s="5"/>
      <c r="L379" s="5"/>
      <c r="M379" s="5" t="s">
        <v>231</v>
      </c>
      <c r="N379" s="5" t="s">
        <v>232</v>
      </c>
      <c r="O379" s="33"/>
      <c r="P379" s="5"/>
      <c r="Q379" s="1" t="s">
        <v>233</v>
      </c>
      <c r="R379" s="31" t="s">
        <v>233</v>
      </c>
      <c r="S379" s="31"/>
      <c r="T379" s="31"/>
      <c r="U379" s="31" t="s">
        <v>3036</v>
      </c>
      <c r="V379" s="5"/>
      <c r="W379" s="40">
        <v>1</v>
      </c>
      <c r="X379" s="41" t="s">
        <v>821</v>
      </c>
      <c r="Y379" s="42" t="s">
        <v>758</v>
      </c>
      <c r="Z379" s="35">
        <v>0</v>
      </c>
      <c r="AA379" s="31" t="s">
        <v>3034</v>
      </c>
      <c r="AB379" s="31" t="s">
        <v>3037</v>
      </c>
      <c r="AC379" s="5" t="s">
        <v>38</v>
      </c>
      <c r="AD379" s="31" t="s">
        <v>238</v>
      </c>
      <c r="AE379" s="36" t="s">
        <v>3038</v>
      </c>
      <c r="AF379" s="31" t="s">
        <v>292</v>
      </c>
      <c r="AG379" s="31" t="s">
        <v>19</v>
      </c>
      <c r="AH379" s="31" t="s">
        <v>27</v>
      </c>
      <c r="AI379" s="31"/>
      <c r="AJ379" s="31" t="s">
        <v>241</v>
      </c>
      <c r="AK379" s="31" t="s">
        <v>238</v>
      </c>
      <c r="AL379" s="31"/>
      <c r="AM379" s="31"/>
      <c r="AN379" s="31"/>
      <c r="AO379" s="31"/>
      <c r="AP379" s="31"/>
      <c r="AQ379" s="31"/>
      <c r="AR379" s="31"/>
      <c r="AS379" s="30">
        <v>86</v>
      </c>
      <c r="AT379" s="37"/>
      <c r="AU379" s="37"/>
      <c r="AV379" s="37"/>
      <c r="AW379" s="37"/>
      <c r="AX379" s="37"/>
      <c r="AY379" s="38"/>
      <c r="AZ379" s="38"/>
      <c r="BA379" s="38"/>
      <c r="BB379" s="46" t="s">
        <v>529</v>
      </c>
      <c r="BC379" s="37"/>
      <c r="BD379" s="37"/>
      <c r="BE379" s="5"/>
      <c r="BF379" s="5"/>
      <c r="BG379" s="31" t="s">
        <v>3039</v>
      </c>
      <c r="BH379" s="31"/>
      <c r="BI379" s="31" t="s">
        <v>3039</v>
      </c>
      <c r="BJ379" s="48"/>
      <c r="BK379" s="49">
        <v>1</v>
      </c>
    </row>
    <row x14ac:dyDescent="0.25" r="380" customHeight="1" ht="31.5">
      <c r="A380" s="50">
        <v>10121</v>
      </c>
      <c r="B380" s="155" t="s">
        <v>3040</v>
      </c>
      <c r="C380" s="51" t="s">
        <v>3041</v>
      </c>
      <c r="D380" s="51" t="s">
        <v>3042</v>
      </c>
      <c r="E380" s="155" t="s">
        <v>529</v>
      </c>
      <c r="F380" s="155" t="s">
        <v>1189</v>
      </c>
      <c r="G380" s="155" t="s">
        <v>975</v>
      </c>
      <c r="H380" s="51" t="s">
        <v>3043</v>
      </c>
      <c r="I380" s="32"/>
      <c r="J380" s="32"/>
      <c r="K380" s="5"/>
      <c r="L380" s="5"/>
      <c r="M380" s="5" t="s">
        <v>231</v>
      </c>
      <c r="N380" s="5" t="s">
        <v>232</v>
      </c>
      <c r="O380" s="33"/>
      <c r="P380" s="5"/>
      <c r="Q380" s="1" t="s">
        <v>233</v>
      </c>
      <c r="R380" s="31" t="s">
        <v>233</v>
      </c>
      <c r="S380" s="31"/>
      <c r="T380" s="31"/>
      <c r="U380" s="31" t="s">
        <v>3044</v>
      </c>
      <c r="V380" s="5"/>
      <c r="W380" s="40">
        <v>1</v>
      </c>
      <c r="X380" s="41" t="s">
        <v>821</v>
      </c>
      <c r="Y380" s="42" t="s">
        <v>3045</v>
      </c>
      <c r="Z380" s="35">
        <v>0</v>
      </c>
      <c r="AA380" s="31" t="s">
        <v>3046</v>
      </c>
      <c r="AB380" s="31" t="s">
        <v>3047</v>
      </c>
      <c r="AC380" s="5" t="s">
        <v>38</v>
      </c>
      <c r="AD380" s="31" t="s">
        <v>238</v>
      </c>
      <c r="AE380" s="36" t="s">
        <v>3038</v>
      </c>
      <c r="AF380" s="31" t="s">
        <v>292</v>
      </c>
      <c r="AG380" s="31" t="s">
        <v>33</v>
      </c>
      <c r="AH380" s="31" t="s">
        <v>41</v>
      </c>
      <c r="AI380" s="31"/>
      <c r="AJ380" s="31" t="s">
        <v>241</v>
      </c>
      <c r="AK380" s="31" t="s">
        <v>238</v>
      </c>
      <c r="AL380" s="31"/>
      <c r="AM380" s="31"/>
      <c r="AN380" s="31"/>
      <c r="AO380" s="31"/>
      <c r="AP380" s="31"/>
      <c r="AQ380" s="31"/>
      <c r="AR380" s="31"/>
      <c r="AS380" s="30">
        <v>87</v>
      </c>
      <c r="AT380" s="37"/>
      <c r="AU380" s="37"/>
      <c r="AV380" s="37"/>
      <c r="AW380" s="37"/>
      <c r="AX380" s="37"/>
      <c r="AY380" s="38"/>
      <c r="AZ380" s="38"/>
      <c r="BA380" s="38"/>
      <c r="BB380" s="46" t="s">
        <v>529</v>
      </c>
      <c r="BC380" s="37"/>
      <c r="BD380" s="37"/>
      <c r="BE380" s="5"/>
      <c r="BF380" s="5"/>
      <c r="BG380" s="31" t="s">
        <v>3048</v>
      </c>
      <c r="BH380" s="31"/>
      <c r="BI380" s="31" t="s">
        <v>3048</v>
      </c>
      <c r="BJ380" s="48"/>
      <c r="BK380" s="49">
        <v>1</v>
      </c>
    </row>
    <row x14ac:dyDescent="0.25" r="381" customHeight="1" ht="31.5">
      <c r="A381" s="50">
        <v>10123</v>
      </c>
      <c r="B381" s="155" t="s">
        <v>3049</v>
      </c>
      <c r="C381" s="51" t="s">
        <v>3050</v>
      </c>
      <c r="D381" s="51" t="s">
        <v>3051</v>
      </c>
      <c r="E381" s="155" t="s">
        <v>529</v>
      </c>
      <c r="F381" s="155" t="s">
        <v>1189</v>
      </c>
      <c r="G381" s="155" t="s">
        <v>975</v>
      </c>
      <c r="H381" s="51" t="s">
        <v>3052</v>
      </c>
      <c r="I381" s="32"/>
      <c r="J381" s="32"/>
      <c r="K381" s="5"/>
      <c r="L381" s="5"/>
      <c r="M381" s="5" t="s">
        <v>231</v>
      </c>
      <c r="N381" s="5" t="s">
        <v>232</v>
      </c>
      <c r="O381" s="33"/>
      <c r="P381" s="5"/>
      <c r="Q381" s="1" t="s">
        <v>233</v>
      </c>
      <c r="R381" s="31" t="s">
        <v>233</v>
      </c>
      <c r="S381" s="31"/>
      <c r="T381" s="31"/>
      <c r="U381" s="31" t="s">
        <v>3053</v>
      </c>
      <c r="V381" s="5"/>
      <c r="W381" s="40">
        <v>1</v>
      </c>
      <c r="X381" s="41" t="s">
        <v>821</v>
      </c>
      <c r="Y381" s="42" t="s">
        <v>3054</v>
      </c>
      <c r="Z381" s="35">
        <v>0</v>
      </c>
      <c r="AA381" s="31" t="s">
        <v>3055</v>
      </c>
      <c r="AB381" s="31" t="s">
        <v>3056</v>
      </c>
      <c r="AC381" s="5" t="s">
        <v>38</v>
      </c>
      <c r="AD381" s="31" t="s">
        <v>238</v>
      </c>
      <c r="AE381" s="36" t="s">
        <v>3038</v>
      </c>
      <c r="AF381" s="31" t="s">
        <v>292</v>
      </c>
      <c r="AG381" s="31" t="s">
        <v>47</v>
      </c>
      <c r="AH381" s="31" t="s">
        <v>27</v>
      </c>
      <c r="AI381" s="31"/>
      <c r="AJ381" s="31" t="s">
        <v>241</v>
      </c>
      <c r="AK381" s="31" t="s">
        <v>238</v>
      </c>
      <c r="AL381" s="31"/>
      <c r="AM381" s="31"/>
      <c r="AN381" s="31"/>
      <c r="AO381" s="31"/>
      <c r="AP381" s="31"/>
      <c r="AQ381" s="31"/>
      <c r="AR381" s="31"/>
      <c r="AS381" s="30">
        <v>88</v>
      </c>
      <c r="AT381" s="37"/>
      <c r="AU381" s="37"/>
      <c r="AV381" s="37"/>
      <c r="AW381" s="37"/>
      <c r="AX381" s="37"/>
      <c r="AY381" s="38"/>
      <c r="AZ381" s="38"/>
      <c r="BA381" s="38"/>
      <c r="BB381" s="46" t="s">
        <v>529</v>
      </c>
      <c r="BC381" s="37"/>
      <c r="BD381" s="37"/>
      <c r="BE381" s="5"/>
      <c r="BF381" s="5"/>
      <c r="BG381" s="31" t="s">
        <v>3057</v>
      </c>
      <c r="BH381" s="31"/>
      <c r="BI381" s="31" t="s">
        <v>3057</v>
      </c>
      <c r="BJ381" s="48"/>
      <c r="BK381" s="49">
        <v>1</v>
      </c>
    </row>
    <row x14ac:dyDescent="0.25" r="382" customHeight="1" ht="31.5">
      <c r="A382" s="50">
        <v>10124</v>
      </c>
      <c r="B382" s="155" t="s">
        <v>3058</v>
      </c>
      <c r="C382" s="51" t="s">
        <v>3059</v>
      </c>
      <c r="D382" s="51" t="s">
        <v>3060</v>
      </c>
      <c r="E382" s="155" t="s">
        <v>529</v>
      </c>
      <c r="F382" s="155" t="s">
        <v>1189</v>
      </c>
      <c r="G382" s="155" t="s">
        <v>975</v>
      </c>
      <c r="H382" s="51" t="s">
        <v>3061</v>
      </c>
      <c r="I382" s="32"/>
      <c r="J382" s="32"/>
      <c r="K382" s="5"/>
      <c r="L382" s="5"/>
      <c r="M382" s="5" t="s">
        <v>231</v>
      </c>
      <c r="N382" s="5" t="s">
        <v>232</v>
      </c>
      <c r="O382" s="33"/>
      <c r="P382" s="5"/>
      <c r="Q382" s="1" t="s">
        <v>233</v>
      </c>
      <c r="R382" s="31" t="s">
        <v>233</v>
      </c>
      <c r="S382" s="31"/>
      <c r="T382" s="31"/>
      <c r="U382" s="31" t="s">
        <v>3062</v>
      </c>
      <c r="V382" s="5"/>
      <c r="W382" s="40">
        <v>1</v>
      </c>
      <c r="X382" s="41" t="s">
        <v>821</v>
      </c>
      <c r="Y382" s="42" t="s">
        <v>3054</v>
      </c>
      <c r="Z382" s="35">
        <v>0</v>
      </c>
      <c r="AA382" s="31" t="s">
        <v>3063</v>
      </c>
      <c r="AB382" s="31" t="s">
        <v>3064</v>
      </c>
      <c r="AC382" s="5" t="s">
        <v>38</v>
      </c>
      <c r="AD382" s="31" t="s">
        <v>238</v>
      </c>
      <c r="AE382" s="36" t="s">
        <v>3038</v>
      </c>
      <c r="AF382" s="31" t="s">
        <v>292</v>
      </c>
      <c r="AG382" s="31" t="s">
        <v>59</v>
      </c>
      <c r="AH382" s="31" t="s">
        <v>27</v>
      </c>
      <c r="AI382" s="31"/>
      <c r="AJ382" s="31" t="s">
        <v>241</v>
      </c>
      <c r="AK382" s="31" t="s">
        <v>238</v>
      </c>
      <c r="AL382" s="31"/>
      <c r="AM382" s="31"/>
      <c r="AN382" s="31"/>
      <c r="AO382" s="31"/>
      <c r="AP382" s="31"/>
      <c r="AQ382" s="31"/>
      <c r="AR382" s="31"/>
      <c r="AS382" s="30">
        <v>89</v>
      </c>
      <c r="AT382" s="37"/>
      <c r="AU382" s="37"/>
      <c r="AV382" s="37"/>
      <c r="AW382" s="37"/>
      <c r="AX382" s="37"/>
      <c r="AY382" s="38"/>
      <c r="AZ382" s="38"/>
      <c r="BA382" s="38"/>
      <c r="BB382" s="46" t="s">
        <v>529</v>
      </c>
      <c r="BC382" s="37"/>
      <c r="BD382" s="37"/>
      <c r="BE382" s="5"/>
      <c r="BF382" s="5"/>
      <c r="BG382" s="31" t="s">
        <v>3065</v>
      </c>
      <c r="BH382" s="31"/>
      <c r="BI382" s="31" t="s">
        <v>3065</v>
      </c>
      <c r="BJ382" s="48"/>
      <c r="BK382" s="49">
        <v>1</v>
      </c>
    </row>
    <row x14ac:dyDescent="0.25" r="383" customHeight="1" ht="31.5">
      <c r="A383" s="50" t="s">
        <v>3066</v>
      </c>
      <c r="B383" s="155" t="s">
        <v>3067</v>
      </c>
      <c r="C383" s="51" t="s">
        <v>3068</v>
      </c>
      <c r="D383" s="51" t="s">
        <v>3069</v>
      </c>
      <c r="E383" s="155" t="s">
        <v>529</v>
      </c>
      <c r="F383" s="155" t="s">
        <v>1189</v>
      </c>
      <c r="G383" s="155" t="s">
        <v>975</v>
      </c>
      <c r="H383" s="51" t="s">
        <v>3070</v>
      </c>
      <c r="I383" s="32"/>
      <c r="J383" s="32"/>
      <c r="K383" s="5"/>
      <c r="L383" s="5"/>
      <c r="M383" s="5" t="s">
        <v>231</v>
      </c>
      <c r="N383" s="5" t="s">
        <v>232</v>
      </c>
      <c r="O383" s="33"/>
      <c r="P383" s="5"/>
      <c r="Q383" s="1" t="s">
        <v>233</v>
      </c>
      <c r="R383" s="31" t="s">
        <v>233</v>
      </c>
      <c r="S383" s="31"/>
      <c r="T383" s="31"/>
      <c r="U383" s="31" t="s">
        <v>3071</v>
      </c>
      <c r="V383" s="5"/>
      <c r="W383" s="40">
        <v>1</v>
      </c>
      <c r="X383" s="41" t="s">
        <v>821</v>
      </c>
      <c r="Y383" s="42" t="s">
        <v>3054</v>
      </c>
      <c r="Z383" s="35">
        <v>0</v>
      </c>
      <c r="AA383" s="31" t="s">
        <v>3072</v>
      </c>
      <c r="AB383" s="31" t="s">
        <v>3073</v>
      </c>
      <c r="AC383" s="5" t="s">
        <v>38</v>
      </c>
      <c r="AD383" s="31" t="s">
        <v>238</v>
      </c>
      <c r="AE383" s="36" t="s">
        <v>3038</v>
      </c>
      <c r="AF383" s="31" t="s">
        <v>292</v>
      </c>
      <c r="AG383" s="31" t="s">
        <v>71</v>
      </c>
      <c r="AH383" s="31" t="s">
        <v>27</v>
      </c>
      <c r="AI383" s="31"/>
      <c r="AJ383" s="31" t="s">
        <v>241</v>
      </c>
      <c r="AK383" s="31" t="s">
        <v>238</v>
      </c>
      <c r="AL383" s="31"/>
      <c r="AM383" s="31"/>
      <c r="AN383" s="31"/>
      <c r="AO383" s="31"/>
      <c r="AP383" s="31"/>
      <c r="AQ383" s="31"/>
      <c r="AR383" s="31"/>
      <c r="AS383" s="30">
        <v>91</v>
      </c>
      <c r="AT383" s="37"/>
      <c r="AU383" s="37"/>
      <c r="AV383" s="37"/>
      <c r="AW383" s="37"/>
      <c r="AX383" s="37"/>
      <c r="AY383" s="38"/>
      <c r="AZ383" s="38"/>
      <c r="BA383" s="38"/>
      <c r="BB383" s="46" t="s">
        <v>529</v>
      </c>
      <c r="BC383" s="37"/>
      <c r="BD383" s="37"/>
      <c r="BE383" s="5"/>
      <c r="BF383" s="5"/>
      <c r="BG383" s="31" t="s">
        <v>3074</v>
      </c>
      <c r="BH383" s="31"/>
      <c r="BI383" s="31" t="s">
        <v>3074</v>
      </c>
      <c r="BJ383" s="48"/>
      <c r="BK383" s="49">
        <v>1</v>
      </c>
    </row>
    <row x14ac:dyDescent="0.25" r="384" customHeight="1" ht="31.5">
      <c r="A384" s="50">
        <v>10122</v>
      </c>
      <c r="B384" s="155" t="s">
        <v>3075</v>
      </c>
      <c r="C384" s="51" t="s">
        <v>3076</v>
      </c>
      <c r="D384" s="51" t="s">
        <v>3077</v>
      </c>
      <c r="E384" s="155" t="s">
        <v>529</v>
      </c>
      <c r="F384" s="155" t="s">
        <v>1189</v>
      </c>
      <c r="G384" s="155" t="s">
        <v>975</v>
      </c>
      <c r="H384" s="51" t="s">
        <v>3078</v>
      </c>
      <c r="I384" s="32"/>
      <c r="J384" s="32"/>
      <c r="K384" s="5"/>
      <c r="L384" s="5"/>
      <c r="M384" s="5" t="s">
        <v>231</v>
      </c>
      <c r="N384" s="5" t="s">
        <v>232</v>
      </c>
      <c r="O384" s="33"/>
      <c r="P384" s="5"/>
      <c r="Q384" s="1" t="s">
        <v>233</v>
      </c>
      <c r="R384" s="31" t="s">
        <v>233</v>
      </c>
      <c r="S384" s="31"/>
      <c r="T384" s="31"/>
      <c r="U384" s="31" t="s">
        <v>3079</v>
      </c>
      <c r="V384" s="5"/>
      <c r="W384" s="40">
        <v>1</v>
      </c>
      <c r="X384" s="41" t="s">
        <v>821</v>
      </c>
      <c r="Y384" s="42" t="s">
        <v>3080</v>
      </c>
      <c r="Z384" s="35">
        <v>0</v>
      </c>
      <c r="AA384" s="31" t="s">
        <v>3081</v>
      </c>
      <c r="AB384" s="31" t="s">
        <v>3082</v>
      </c>
      <c r="AC384" s="5" t="s">
        <v>38</v>
      </c>
      <c r="AD384" s="31" t="s">
        <v>238</v>
      </c>
      <c r="AE384" s="36" t="s">
        <v>3038</v>
      </c>
      <c r="AF384" s="31" t="s">
        <v>292</v>
      </c>
      <c r="AG384" s="31" t="s">
        <v>83</v>
      </c>
      <c r="AH384" s="31" t="s">
        <v>55</v>
      </c>
      <c r="AI384" s="31"/>
      <c r="AJ384" s="31" t="s">
        <v>241</v>
      </c>
      <c r="AK384" s="31" t="s">
        <v>238</v>
      </c>
      <c r="AL384" s="31"/>
      <c r="AM384" s="31"/>
      <c r="AN384" s="31"/>
      <c r="AO384" s="31"/>
      <c r="AP384" s="31"/>
      <c r="AQ384" s="31"/>
      <c r="AR384" s="31"/>
      <c r="AS384" s="30">
        <v>93</v>
      </c>
      <c r="AT384" s="37"/>
      <c r="AU384" s="37"/>
      <c r="AV384" s="37"/>
      <c r="AW384" s="37"/>
      <c r="AX384" s="37"/>
      <c r="AY384" s="38"/>
      <c r="AZ384" s="38"/>
      <c r="BA384" s="38"/>
      <c r="BB384" s="46" t="s">
        <v>529</v>
      </c>
      <c r="BC384" s="37"/>
      <c r="BD384" s="37"/>
      <c r="BE384" s="5"/>
      <c r="BF384" s="5"/>
      <c r="BG384" s="31" t="s">
        <v>3083</v>
      </c>
      <c r="BH384" s="31"/>
      <c r="BI384" s="31" t="s">
        <v>3083</v>
      </c>
      <c r="BJ384" s="48"/>
      <c r="BK384" s="49">
        <v>1</v>
      </c>
    </row>
    <row x14ac:dyDescent="0.25" r="385" customHeight="1" ht="47.25">
      <c r="A385" s="259">
        <v>10126</v>
      </c>
      <c r="B385" s="260" t="s">
        <v>3084</v>
      </c>
      <c r="C385" s="261" t="s">
        <v>3085</v>
      </c>
      <c r="D385" s="261" t="s">
        <v>3086</v>
      </c>
      <c r="E385" s="260" t="s">
        <v>529</v>
      </c>
      <c r="F385" s="260" t="s">
        <v>226</v>
      </c>
      <c r="G385" s="260" t="s">
        <v>975</v>
      </c>
      <c r="H385" s="261" t="s">
        <v>3087</v>
      </c>
      <c r="I385" s="36"/>
      <c r="J385" s="36"/>
      <c r="K385" s="169"/>
      <c r="L385" s="169"/>
      <c r="M385" s="169" t="s">
        <v>231</v>
      </c>
      <c r="N385" s="169" t="s">
        <v>232</v>
      </c>
      <c r="O385" s="33"/>
      <c r="P385" s="169"/>
      <c r="Q385" s="170" t="s">
        <v>233</v>
      </c>
      <c r="R385" s="36" t="s">
        <v>233</v>
      </c>
      <c r="S385" s="36"/>
      <c r="T385" s="36"/>
      <c r="U385" s="36" t="s">
        <v>3088</v>
      </c>
      <c r="V385" s="169"/>
      <c r="W385" s="172">
        <v>1</v>
      </c>
      <c r="X385" s="41" t="s">
        <v>821</v>
      </c>
      <c r="Y385" s="173" t="s">
        <v>256</v>
      </c>
      <c r="Z385" s="179">
        <v>0</v>
      </c>
      <c r="AA385" s="36" t="s">
        <v>3089</v>
      </c>
      <c r="AB385" s="36" t="s">
        <v>3090</v>
      </c>
      <c r="AC385" s="5" t="s">
        <v>52</v>
      </c>
      <c r="AD385" s="36" t="s">
        <v>238</v>
      </c>
      <c r="AE385" s="36" t="s">
        <v>3038</v>
      </c>
      <c r="AF385" s="36" t="s">
        <v>292</v>
      </c>
      <c r="AG385" s="36" t="s">
        <v>94</v>
      </c>
      <c r="AH385" s="31" t="s">
        <v>67</v>
      </c>
      <c r="AI385" s="36"/>
      <c r="AJ385" s="36" t="s">
        <v>241</v>
      </c>
      <c r="AK385" s="36" t="s">
        <v>238</v>
      </c>
      <c r="AL385" s="36"/>
      <c r="AM385" s="36"/>
      <c r="AN385" s="36"/>
      <c r="AO385" s="36"/>
      <c r="AP385" s="36"/>
      <c r="AQ385" s="36"/>
      <c r="AR385" s="36"/>
      <c r="AS385" s="168">
        <v>94</v>
      </c>
      <c r="AT385" s="175"/>
      <c r="AU385" s="175"/>
      <c r="AV385" s="175"/>
      <c r="AW385" s="175"/>
      <c r="AX385" s="175"/>
      <c r="AY385" s="176"/>
      <c r="AZ385" s="176"/>
      <c r="BA385" s="176"/>
      <c r="BB385" s="177" t="s">
        <v>529</v>
      </c>
      <c r="BC385" s="37"/>
      <c r="BD385" s="37"/>
      <c r="BE385" s="169"/>
      <c r="BF385" s="169"/>
      <c r="BG385" s="36" t="s">
        <v>3091</v>
      </c>
      <c r="BH385" s="36"/>
      <c r="BI385" s="31" t="s">
        <v>3091</v>
      </c>
      <c r="BJ385" s="48"/>
      <c r="BK385" s="49">
        <v>1</v>
      </c>
    </row>
    <row x14ac:dyDescent="0.25" r="386" customHeight="1" ht="31.5">
      <c r="A386" s="259">
        <v>10127</v>
      </c>
      <c r="B386" s="260" t="s">
        <v>3092</v>
      </c>
      <c r="C386" s="261" t="s">
        <v>3093</v>
      </c>
      <c r="D386" s="261" t="s">
        <v>3094</v>
      </c>
      <c r="E386" s="260" t="s">
        <v>529</v>
      </c>
      <c r="F386" s="260" t="s">
        <v>226</v>
      </c>
      <c r="G386" s="260" t="s">
        <v>975</v>
      </c>
      <c r="H386" s="261" t="s">
        <v>3095</v>
      </c>
      <c r="I386" s="36"/>
      <c r="J386" s="36"/>
      <c r="K386" s="169"/>
      <c r="L386" s="169"/>
      <c r="M386" s="169" t="s">
        <v>231</v>
      </c>
      <c r="N386" s="169" t="s">
        <v>232</v>
      </c>
      <c r="O386" s="33"/>
      <c r="P386" s="169"/>
      <c r="Q386" s="170" t="s">
        <v>233</v>
      </c>
      <c r="R386" s="36" t="s">
        <v>233</v>
      </c>
      <c r="S386" s="36"/>
      <c r="T386" s="36"/>
      <c r="U386" s="36" t="s">
        <v>3096</v>
      </c>
      <c r="V386" s="169"/>
      <c r="W386" s="172">
        <v>1</v>
      </c>
      <c r="X386" s="41" t="s">
        <v>821</v>
      </c>
      <c r="Y386" s="173" t="s">
        <v>256</v>
      </c>
      <c r="Z386" s="179">
        <v>0</v>
      </c>
      <c r="AA386" s="36" t="s">
        <v>3097</v>
      </c>
      <c r="AB386" s="36" t="s">
        <v>3098</v>
      </c>
      <c r="AC386" s="5" t="s">
        <v>52</v>
      </c>
      <c r="AD386" s="36" t="s">
        <v>238</v>
      </c>
      <c r="AE386" s="36" t="s">
        <v>3038</v>
      </c>
      <c r="AF386" s="36" t="s">
        <v>292</v>
      </c>
      <c r="AG386" s="36" t="s">
        <v>103</v>
      </c>
      <c r="AH386" s="31" t="s">
        <v>67</v>
      </c>
      <c r="AI386" s="36"/>
      <c r="AJ386" s="36" t="s">
        <v>241</v>
      </c>
      <c r="AK386" s="36" t="s">
        <v>238</v>
      </c>
      <c r="AL386" s="36"/>
      <c r="AM386" s="36"/>
      <c r="AN386" s="36"/>
      <c r="AO386" s="36"/>
      <c r="AP386" s="36"/>
      <c r="AQ386" s="36"/>
      <c r="AR386" s="36"/>
      <c r="AS386" s="168">
        <v>95</v>
      </c>
      <c r="AT386" s="175"/>
      <c r="AU386" s="175"/>
      <c r="AV386" s="175"/>
      <c r="AW386" s="175"/>
      <c r="AX386" s="175"/>
      <c r="AY386" s="176"/>
      <c r="AZ386" s="176"/>
      <c r="BA386" s="176"/>
      <c r="BB386" s="177" t="s">
        <v>529</v>
      </c>
      <c r="BC386" s="37"/>
      <c r="BD386" s="37"/>
      <c r="BE386" s="169"/>
      <c r="BF386" s="169"/>
      <c r="BG386" s="36" t="s">
        <v>3099</v>
      </c>
      <c r="BH386" s="36"/>
      <c r="BI386" s="31" t="s">
        <v>3099</v>
      </c>
      <c r="BJ386" s="48"/>
      <c r="BK386" s="49">
        <v>1</v>
      </c>
    </row>
    <row x14ac:dyDescent="0.25" r="387" customHeight="1" ht="31.5">
      <c r="A387" s="259">
        <v>10128</v>
      </c>
      <c r="B387" s="260" t="s">
        <v>3100</v>
      </c>
      <c r="C387" s="261" t="s">
        <v>3101</v>
      </c>
      <c r="D387" s="261" t="s">
        <v>3102</v>
      </c>
      <c r="E387" s="260" t="s">
        <v>529</v>
      </c>
      <c r="F387" s="260" t="s">
        <v>226</v>
      </c>
      <c r="G387" s="260" t="s">
        <v>975</v>
      </c>
      <c r="H387" s="261" t="s">
        <v>3103</v>
      </c>
      <c r="I387" s="36"/>
      <c r="J387" s="36"/>
      <c r="K387" s="169"/>
      <c r="L387" s="169"/>
      <c r="M387" s="169" t="s">
        <v>231</v>
      </c>
      <c r="N387" s="169" t="s">
        <v>232</v>
      </c>
      <c r="O387" s="33"/>
      <c r="P387" s="169"/>
      <c r="Q387" s="170" t="s">
        <v>233</v>
      </c>
      <c r="R387" s="36" t="s">
        <v>233</v>
      </c>
      <c r="S387" s="36"/>
      <c r="T387" s="36"/>
      <c r="U387" s="36" t="s">
        <v>3104</v>
      </c>
      <c r="V387" s="169"/>
      <c r="W387" s="172">
        <v>1</v>
      </c>
      <c r="X387" s="41" t="s">
        <v>821</v>
      </c>
      <c r="Y387" s="173" t="s">
        <v>256</v>
      </c>
      <c r="Z387" s="179">
        <v>0</v>
      </c>
      <c r="AA387" s="36" t="s">
        <v>3102</v>
      </c>
      <c r="AB387" s="36" t="s">
        <v>3105</v>
      </c>
      <c r="AC387" s="5" t="s">
        <v>52</v>
      </c>
      <c r="AD387" s="36" t="s">
        <v>238</v>
      </c>
      <c r="AE387" s="36" t="s">
        <v>3038</v>
      </c>
      <c r="AF387" s="36" t="s">
        <v>292</v>
      </c>
      <c r="AG387" s="36" t="s">
        <v>112</v>
      </c>
      <c r="AH387" s="31" t="s">
        <v>67</v>
      </c>
      <c r="AI387" s="36"/>
      <c r="AJ387" s="36" t="s">
        <v>241</v>
      </c>
      <c r="AK387" s="36" t="s">
        <v>238</v>
      </c>
      <c r="AL387" s="36"/>
      <c r="AM387" s="36"/>
      <c r="AN387" s="36"/>
      <c r="AO387" s="36"/>
      <c r="AP387" s="36"/>
      <c r="AQ387" s="36"/>
      <c r="AR387" s="36"/>
      <c r="AS387" s="168">
        <v>96</v>
      </c>
      <c r="AT387" s="175"/>
      <c r="AU387" s="175"/>
      <c r="AV387" s="175"/>
      <c r="AW387" s="175"/>
      <c r="AX387" s="175"/>
      <c r="AY387" s="176"/>
      <c r="AZ387" s="176"/>
      <c r="BA387" s="176"/>
      <c r="BB387" s="177" t="s">
        <v>529</v>
      </c>
      <c r="BC387" s="37"/>
      <c r="BD387" s="37"/>
      <c r="BE387" s="169"/>
      <c r="BF387" s="169"/>
      <c r="BG387" s="36" t="s">
        <v>3106</v>
      </c>
      <c r="BH387" s="36"/>
      <c r="BI387" s="31" t="s">
        <v>3106</v>
      </c>
      <c r="BJ387" s="48"/>
      <c r="BK387" s="49">
        <v>1</v>
      </c>
    </row>
    <row x14ac:dyDescent="0.25" r="388" customHeight="1" ht="42">
      <c r="A388" s="50">
        <v>10143</v>
      </c>
      <c r="B388" s="155" t="s">
        <v>3107</v>
      </c>
      <c r="C388" s="51" t="s">
        <v>3108</v>
      </c>
      <c r="D388" s="51" t="s">
        <v>3109</v>
      </c>
      <c r="E388" s="155" t="s">
        <v>529</v>
      </c>
      <c r="F388" s="155" t="s">
        <v>226</v>
      </c>
      <c r="G388" s="155" t="s">
        <v>975</v>
      </c>
      <c r="H388" s="51" t="s">
        <v>3110</v>
      </c>
      <c r="I388" s="32"/>
      <c r="J388" s="32"/>
      <c r="K388" s="5"/>
      <c r="L388" s="5"/>
      <c r="M388" s="5" t="s">
        <v>231</v>
      </c>
      <c r="N388" s="5" t="s">
        <v>232</v>
      </c>
      <c r="O388" s="33"/>
      <c r="P388" s="5"/>
      <c r="Q388" s="1" t="s">
        <v>233</v>
      </c>
      <c r="R388" s="31" t="s">
        <v>233</v>
      </c>
      <c r="S388" s="31"/>
      <c r="T388" s="31"/>
      <c r="U388" s="31" t="s">
        <v>3111</v>
      </c>
      <c r="V388" s="5"/>
      <c r="W388" s="34">
        <v>1</v>
      </c>
      <c r="X388" s="31" t="s">
        <v>273</v>
      </c>
      <c r="Y388" s="5" t="s">
        <v>256</v>
      </c>
      <c r="Z388" s="35">
        <v>0</v>
      </c>
      <c r="AA388" s="31" t="s">
        <v>3109</v>
      </c>
      <c r="AB388" s="31" t="s">
        <v>3112</v>
      </c>
      <c r="AC388" s="5" t="s">
        <v>52</v>
      </c>
      <c r="AD388" s="31" t="s">
        <v>238</v>
      </c>
      <c r="AE388" s="36" t="s">
        <v>982</v>
      </c>
      <c r="AF388" s="31" t="s">
        <v>292</v>
      </c>
      <c r="AG388" s="31" t="s">
        <v>31</v>
      </c>
      <c r="AH388" s="31" t="s">
        <v>67</v>
      </c>
      <c r="AI388" s="31"/>
      <c r="AJ388" s="31" t="s">
        <v>241</v>
      </c>
      <c r="AK388" s="31" t="s">
        <v>238</v>
      </c>
      <c r="AL388" s="31"/>
      <c r="AM388" s="31"/>
      <c r="AN388" s="31"/>
      <c r="AO388" s="31"/>
      <c r="AP388" s="31"/>
      <c r="AQ388" s="31"/>
      <c r="AR388" s="31"/>
      <c r="AS388" s="30">
        <v>98</v>
      </c>
      <c r="AT388" s="37"/>
      <c r="AU388" s="37"/>
      <c r="AV388" s="37"/>
      <c r="AW388" s="37"/>
      <c r="AX388" s="37"/>
      <c r="AY388" s="38"/>
      <c r="AZ388" s="38"/>
      <c r="BA388" s="38"/>
      <c r="BB388" s="1" t="s">
        <v>529</v>
      </c>
      <c r="BC388" s="37"/>
      <c r="BD388" s="37"/>
      <c r="BE388" s="5"/>
      <c r="BF388" s="5"/>
      <c r="BG388" s="47" t="s">
        <v>3113</v>
      </c>
      <c r="BH388" s="47"/>
      <c r="BI388" s="31" t="s">
        <v>3113</v>
      </c>
      <c r="BJ388" s="31"/>
      <c r="BK388" s="49">
        <v>1</v>
      </c>
    </row>
    <row x14ac:dyDescent="0.25" r="389" customHeight="1" ht="31.5">
      <c r="A389" s="50">
        <v>10144</v>
      </c>
      <c r="B389" s="155" t="s">
        <v>3114</v>
      </c>
      <c r="C389" s="51" t="s">
        <v>3115</v>
      </c>
      <c r="D389" s="51" t="s">
        <v>3116</v>
      </c>
      <c r="E389" s="155" t="s">
        <v>529</v>
      </c>
      <c r="F389" s="155" t="s">
        <v>577</v>
      </c>
      <c r="G389" s="155" t="s">
        <v>975</v>
      </c>
      <c r="H389" s="51" t="s">
        <v>3117</v>
      </c>
      <c r="I389" s="32"/>
      <c r="J389" s="32"/>
      <c r="K389" s="5"/>
      <c r="L389" s="5"/>
      <c r="M389" s="5" t="s">
        <v>231</v>
      </c>
      <c r="N389" s="5" t="s">
        <v>232</v>
      </c>
      <c r="O389" s="33"/>
      <c r="P389" s="5"/>
      <c r="Q389" s="1" t="s">
        <v>233</v>
      </c>
      <c r="R389" s="31" t="s">
        <v>233</v>
      </c>
      <c r="S389" s="31"/>
      <c r="T389" s="31"/>
      <c r="U389" s="31" t="s">
        <v>3118</v>
      </c>
      <c r="V389" s="5"/>
      <c r="W389" s="40">
        <v>1</v>
      </c>
      <c r="X389" s="41" t="s">
        <v>273</v>
      </c>
      <c r="Y389" s="42" t="s">
        <v>1121</v>
      </c>
      <c r="Z389" s="35">
        <v>0</v>
      </c>
      <c r="AA389" s="31" t="s">
        <v>3116</v>
      </c>
      <c r="AB389" s="31" t="s">
        <v>3119</v>
      </c>
      <c r="AC389" s="5" t="s">
        <v>38</v>
      </c>
      <c r="AD389" s="31" t="s">
        <v>238</v>
      </c>
      <c r="AE389" s="36" t="s">
        <v>982</v>
      </c>
      <c r="AF389" s="31" t="s">
        <v>292</v>
      </c>
      <c r="AG389" s="31" t="s">
        <v>45</v>
      </c>
      <c r="AH389" s="31" t="s">
        <v>41</v>
      </c>
      <c r="AI389" s="31"/>
      <c r="AJ389" s="31" t="s">
        <v>241</v>
      </c>
      <c r="AK389" s="31" t="s">
        <v>238</v>
      </c>
      <c r="AL389" s="31"/>
      <c r="AM389" s="31"/>
      <c r="AN389" s="31"/>
      <c r="AO389" s="31"/>
      <c r="AP389" s="31"/>
      <c r="AQ389" s="31"/>
      <c r="AR389" s="31"/>
      <c r="AS389" s="30">
        <v>99</v>
      </c>
      <c r="AT389" s="37"/>
      <c r="AU389" s="37"/>
      <c r="AV389" s="37"/>
      <c r="AW389" s="37"/>
      <c r="AX389" s="37"/>
      <c r="AY389" s="38"/>
      <c r="AZ389" s="38"/>
      <c r="BA389" s="38"/>
      <c r="BB389" s="46" t="s">
        <v>529</v>
      </c>
      <c r="BC389" s="37"/>
      <c r="BD389" s="37"/>
      <c r="BE389" s="5"/>
      <c r="BF389" s="5"/>
      <c r="BG389" s="47" t="s">
        <v>3120</v>
      </c>
      <c r="BH389" s="47"/>
      <c r="BI389" s="31" t="s">
        <v>3120</v>
      </c>
      <c r="BJ389" s="48"/>
      <c r="BK389" s="49">
        <v>1</v>
      </c>
    </row>
    <row x14ac:dyDescent="0.25" r="390" customHeight="1" ht="48">
      <c r="A390" s="50">
        <v>10145</v>
      </c>
      <c r="B390" s="155" t="s">
        <v>3121</v>
      </c>
      <c r="C390" s="51" t="s">
        <v>3122</v>
      </c>
      <c r="D390" s="51" t="s">
        <v>3123</v>
      </c>
      <c r="E390" s="155" t="s">
        <v>529</v>
      </c>
      <c r="F390" s="155" t="s">
        <v>226</v>
      </c>
      <c r="G390" s="155" t="s">
        <v>975</v>
      </c>
      <c r="H390" s="51" t="s">
        <v>3124</v>
      </c>
      <c r="I390" s="32"/>
      <c r="J390" s="32"/>
      <c r="K390" s="5"/>
      <c r="L390" s="5"/>
      <c r="M390" s="5" t="s">
        <v>231</v>
      </c>
      <c r="N390" s="5" t="s">
        <v>232</v>
      </c>
      <c r="O390" s="33"/>
      <c r="P390" s="5"/>
      <c r="Q390" s="1" t="s">
        <v>233</v>
      </c>
      <c r="R390" s="31" t="s">
        <v>233</v>
      </c>
      <c r="S390" s="31"/>
      <c r="T390" s="31"/>
      <c r="U390" s="31" t="s">
        <v>3125</v>
      </c>
      <c r="V390" s="5"/>
      <c r="W390" s="40">
        <v>1</v>
      </c>
      <c r="X390" s="41" t="s">
        <v>273</v>
      </c>
      <c r="Y390" s="42" t="s">
        <v>256</v>
      </c>
      <c r="Z390" s="35">
        <v>0</v>
      </c>
      <c r="AA390" s="31" t="s">
        <v>3126</v>
      </c>
      <c r="AB390" s="31" t="s">
        <v>3127</v>
      </c>
      <c r="AC390" s="5" t="s">
        <v>52</v>
      </c>
      <c r="AD390" s="31" t="s">
        <v>238</v>
      </c>
      <c r="AE390" s="36" t="s">
        <v>982</v>
      </c>
      <c r="AF390" s="31" t="s">
        <v>292</v>
      </c>
      <c r="AG390" s="31" t="s">
        <v>57</v>
      </c>
      <c r="AH390" s="31" t="s">
        <v>67</v>
      </c>
      <c r="AI390" s="31"/>
      <c r="AJ390" s="31" t="s">
        <v>241</v>
      </c>
      <c r="AK390" s="31" t="s">
        <v>238</v>
      </c>
      <c r="AL390" s="31"/>
      <c r="AM390" s="31"/>
      <c r="AN390" s="31"/>
      <c r="AO390" s="31"/>
      <c r="AP390" s="31"/>
      <c r="AQ390" s="31"/>
      <c r="AR390" s="31"/>
      <c r="AS390" s="30">
        <v>100</v>
      </c>
      <c r="AT390" s="37"/>
      <c r="AU390" s="37"/>
      <c r="AV390" s="37"/>
      <c r="AW390" s="37"/>
      <c r="AX390" s="37"/>
      <c r="AY390" s="38"/>
      <c r="AZ390" s="38"/>
      <c r="BA390" s="38"/>
      <c r="BB390" s="46" t="s">
        <v>529</v>
      </c>
      <c r="BC390" s="37"/>
      <c r="BD390" s="37"/>
      <c r="BE390" s="169"/>
      <c r="BF390" s="169"/>
      <c r="BG390" s="47" t="s">
        <v>3128</v>
      </c>
      <c r="BH390" s="47"/>
      <c r="BI390" s="31" t="s">
        <v>3128</v>
      </c>
      <c r="BJ390" s="48"/>
      <c r="BK390" s="49">
        <v>1</v>
      </c>
    </row>
    <row x14ac:dyDescent="0.25" r="391" customHeight="1" ht="31.5">
      <c r="A391" s="50">
        <v>10149</v>
      </c>
      <c r="B391" s="155" t="s">
        <v>3129</v>
      </c>
      <c r="C391" s="51" t="s">
        <v>3130</v>
      </c>
      <c r="D391" s="51" t="s">
        <v>3131</v>
      </c>
      <c r="E391" s="155" t="s">
        <v>529</v>
      </c>
      <c r="F391" s="155" t="s">
        <v>226</v>
      </c>
      <c r="G391" s="155" t="s">
        <v>975</v>
      </c>
      <c r="H391" s="51" t="s">
        <v>3132</v>
      </c>
      <c r="I391" s="32"/>
      <c r="J391" s="32"/>
      <c r="K391" s="5"/>
      <c r="L391" s="5"/>
      <c r="M391" s="5" t="s">
        <v>231</v>
      </c>
      <c r="N391" s="5" t="s">
        <v>232</v>
      </c>
      <c r="O391" s="33"/>
      <c r="P391" s="5"/>
      <c r="Q391" s="1" t="s">
        <v>233</v>
      </c>
      <c r="R391" s="31" t="s">
        <v>233</v>
      </c>
      <c r="S391" s="31"/>
      <c r="T391" s="31"/>
      <c r="U391" s="31" t="s">
        <v>3133</v>
      </c>
      <c r="V391" s="5"/>
      <c r="W391" s="40">
        <v>1</v>
      </c>
      <c r="X391" s="41" t="s">
        <v>273</v>
      </c>
      <c r="Y391" s="42" t="s">
        <v>256</v>
      </c>
      <c r="Z391" s="35">
        <v>0</v>
      </c>
      <c r="AA391" s="31" t="s">
        <v>3134</v>
      </c>
      <c r="AB391" s="31" t="s">
        <v>3135</v>
      </c>
      <c r="AC391" s="5" t="s">
        <v>52</v>
      </c>
      <c r="AD391" s="31" t="s">
        <v>238</v>
      </c>
      <c r="AE391" s="36" t="s">
        <v>982</v>
      </c>
      <c r="AF391" s="31" t="s">
        <v>292</v>
      </c>
      <c r="AG391" s="31" t="s">
        <v>81</v>
      </c>
      <c r="AH391" s="31" t="s">
        <v>67</v>
      </c>
      <c r="AI391" s="31"/>
      <c r="AJ391" s="31" t="s">
        <v>241</v>
      </c>
      <c r="AK391" s="31" t="s">
        <v>238</v>
      </c>
      <c r="AL391" s="31"/>
      <c r="AM391" s="31"/>
      <c r="AN391" s="31"/>
      <c r="AO391" s="31"/>
      <c r="AP391" s="31"/>
      <c r="AQ391" s="31"/>
      <c r="AR391" s="31"/>
      <c r="AS391" s="30">
        <v>102</v>
      </c>
      <c r="AT391" s="37"/>
      <c r="AU391" s="37"/>
      <c r="AV391" s="37"/>
      <c r="AW391" s="37"/>
      <c r="AX391" s="37"/>
      <c r="AY391" s="38"/>
      <c r="AZ391" s="38"/>
      <c r="BA391" s="38"/>
      <c r="BB391" s="46" t="s">
        <v>529</v>
      </c>
      <c r="BC391" s="37"/>
      <c r="BD391" s="37"/>
      <c r="BE391" s="5"/>
      <c r="BF391" s="5"/>
      <c r="BG391" s="47" t="s">
        <v>3136</v>
      </c>
      <c r="BH391" s="47"/>
      <c r="BI391" s="31" t="s">
        <v>3136</v>
      </c>
      <c r="BJ391" s="48"/>
      <c r="BK391" s="49">
        <v>1</v>
      </c>
    </row>
    <row x14ac:dyDescent="0.25" r="392" customHeight="1" ht="31.5">
      <c r="A392" s="50">
        <v>10152</v>
      </c>
      <c r="B392" s="155" t="s">
        <v>3137</v>
      </c>
      <c r="C392" s="51" t="s">
        <v>3138</v>
      </c>
      <c r="D392" s="51" t="s">
        <v>3139</v>
      </c>
      <c r="E392" s="155" t="s">
        <v>529</v>
      </c>
      <c r="F392" s="155" t="s">
        <v>226</v>
      </c>
      <c r="G392" s="155" t="s">
        <v>975</v>
      </c>
      <c r="H392" s="51" t="s">
        <v>3140</v>
      </c>
      <c r="I392" s="32"/>
      <c r="J392" s="32"/>
      <c r="K392" s="5"/>
      <c r="L392" s="5"/>
      <c r="M392" s="5" t="s">
        <v>231</v>
      </c>
      <c r="N392" s="5" t="s">
        <v>232</v>
      </c>
      <c r="O392" s="33"/>
      <c r="P392" s="5"/>
      <c r="Q392" s="1" t="s">
        <v>233</v>
      </c>
      <c r="R392" s="31" t="s">
        <v>233</v>
      </c>
      <c r="S392" s="31"/>
      <c r="T392" s="31"/>
      <c r="U392" s="31" t="s">
        <v>3141</v>
      </c>
      <c r="V392" s="5"/>
      <c r="W392" s="40">
        <v>1</v>
      </c>
      <c r="X392" s="41" t="s">
        <v>273</v>
      </c>
      <c r="Y392" s="42" t="s">
        <v>256</v>
      </c>
      <c r="Z392" s="35">
        <v>0</v>
      </c>
      <c r="AA392" s="31" t="s">
        <v>3142</v>
      </c>
      <c r="AB392" s="31" t="s">
        <v>3143</v>
      </c>
      <c r="AC392" s="5" t="s">
        <v>52</v>
      </c>
      <c r="AD392" s="31" t="s">
        <v>238</v>
      </c>
      <c r="AE392" s="36" t="s">
        <v>982</v>
      </c>
      <c r="AF392" s="31" t="s">
        <v>292</v>
      </c>
      <c r="AG392" s="31" t="s">
        <v>101</v>
      </c>
      <c r="AH392" s="31" t="s">
        <v>67</v>
      </c>
      <c r="AI392" s="31"/>
      <c r="AJ392" s="31" t="s">
        <v>241</v>
      </c>
      <c r="AK392" s="31" t="s">
        <v>238</v>
      </c>
      <c r="AL392" s="31"/>
      <c r="AM392" s="31"/>
      <c r="AN392" s="31"/>
      <c r="AO392" s="31"/>
      <c r="AP392" s="31"/>
      <c r="AQ392" s="31"/>
      <c r="AR392" s="31"/>
      <c r="AS392" s="30">
        <v>104</v>
      </c>
      <c r="AT392" s="37"/>
      <c r="AU392" s="37"/>
      <c r="AV392" s="37"/>
      <c r="AW392" s="37"/>
      <c r="AX392" s="37"/>
      <c r="AY392" s="38"/>
      <c r="AZ392" s="38"/>
      <c r="BA392" s="38"/>
      <c r="BB392" s="46" t="s">
        <v>529</v>
      </c>
      <c r="BC392" s="37"/>
      <c r="BD392" s="37"/>
      <c r="BE392" s="5"/>
      <c r="BF392" s="5"/>
      <c r="BG392" s="47" t="s">
        <v>3144</v>
      </c>
      <c r="BH392" s="47"/>
      <c r="BI392" s="31" t="s">
        <v>3144</v>
      </c>
      <c r="BJ392" s="48"/>
      <c r="BK392" s="49">
        <v>1</v>
      </c>
    </row>
    <row x14ac:dyDescent="0.25" r="393" customHeight="1" ht="31.5">
      <c r="A393" s="50" t="s">
        <v>3145</v>
      </c>
      <c r="B393" s="155" t="s">
        <v>3146</v>
      </c>
      <c r="C393" s="51" t="s">
        <v>3147</v>
      </c>
      <c r="D393" s="51" t="s">
        <v>3139</v>
      </c>
      <c r="E393" s="155" t="s">
        <v>529</v>
      </c>
      <c r="F393" s="155" t="s">
        <v>226</v>
      </c>
      <c r="G393" s="155" t="s">
        <v>975</v>
      </c>
      <c r="H393" s="51" t="s">
        <v>3027</v>
      </c>
      <c r="I393" s="32"/>
      <c r="J393" s="32"/>
      <c r="K393" s="5"/>
      <c r="L393" s="5"/>
      <c r="M393" s="5" t="s">
        <v>231</v>
      </c>
      <c r="N393" s="5" t="s">
        <v>232</v>
      </c>
      <c r="O393" s="33"/>
      <c r="P393" s="5"/>
      <c r="Q393" s="1" t="s">
        <v>233</v>
      </c>
      <c r="R393" s="31" t="s">
        <v>233</v>
      </c>
      <c r="S393" s="31"/>
      <c r="T393" s="31"/>
      <c r="U393" s="31" t="s">
        <v>3148</v>
      </c>
      <c r="V393" s="5"/>
      <c r="W393" s="34">
        <v>1</v>
      </c>
      <c r="X393" s="31" t="s">
        <v>273</v>
      </c>
      <c r="Y393" s="5" t="s">
        <v>256</v>
      </c>
      <c r="Z393" s="35">
        <v>0</v>
      </c>
      <c r="AA393" s="31" t="s">
        <v>3142</v>
      </c>
      <c r="AB393" s="31" t="s">
        <v>3149</v>
      </c>
      <c r="AC393" s="5" t="s">
        <v>52</v>
      </c>
      <c r="AD393" s="31" t="s">
        <v>238</v>
      </c>
      <c r="AE393" s="36" t="s">
        <v>982</v>
      </c>
      <c r="AF393" s="31" t="s">
        <v>292</v>
      </c>
      <c r="AG393" s="31" t="s">
        <v>118</v>
      </c>
      <c r="AH393" s="31" t="s">
        <v>67</v>
      </c>
      <c r="AI393" s="31"/>
      <c r="AJ393" s="31" t="s">
        <v>241</v>
      </c>
      <c r="AK393" s="31" t="s">
        <v>238</v>
      </c>
      <c r="AL393" s="31"/>
      <c r="AM393" s="31"/>
      <c r="AN393" s="31"/>
      <c r="AO393" s="31"/>
      <c r="AP393" s="31"/>
      <c r="AQ393" s="31"/>
      <c r="AR393" s="31"/>
      <c r="AS393" s="30">
        <v>106</v>
      </c>
      <c r="AT393" s="37"/>
      <c r="AU393" s="37"/>
      <c r="AV393" s="37"/>
      <c r="AW393" s="37"/>
      <c r="AX393" s="37"/>
      <c r="AY393" s="38"/>
      <c r="AZ393" s="38"/>
      <c r="BA393" s="38"/>
      <c r="BB393" s="1" t="s">
        <v>529</v>
      </c>
      <c r="BC393" s="37"/>
      <c r="BD393" s="37"/>
      <c r="BE393" s="5"/>
      <c r="BF393" s="5"/>
      <c r="BG393" s="47" t="s">
        <v>3150</v>
      </c>
      <c r="BH393" s="47"/>
      <c r="BI393" s="31" t="s">
        <v>3150</v>
      </c>
      <c r="BJ393" s="31"/>
      <c r="BK393" s="49">
        <v>1</v>
      </c>
    </row>
    <row x14ac:dyDescent="0.25" r="394" customHeight="1" ht="31.5">
      <c r="A394" s="259"/>
      <c r="B394" s="260" t="s">
        <v>3151</v>
      </c>
      <c r="C394" s="261" t="s">
        <v>3152</v>
      </c>
      <c r="D394" s="261" t="s">
        <v>3153</v>
      </c>
      <c r="E394" s="260"/>
      <c r="F394" s="260" t="s">
        <v>226</v>
      </c>
      <c r="G394" s="260" t="s">
        <v>975</v>
      </c>
      <c r="H394" s="261" t="s">
        <v>3154</v>
      </c>
      <c r="I394" s="164"/>
      <c r="J394" s="164"/>
      <c r="K394" s="262"/>
      <c r="L394" s="262"/>
      <c r="M394" s="262" t="s">
        <v>231</v>
      </c>
      <c r="N394" s="262" t="s">
        <v>232</v>
      </c>
      <c r="O394" s="160"/>
      <c r="P394" s="262"/>
      <c r="Q394" s="263" t="s">
        <v>233</v>
      </c>
      <c r="R394" s="164" t="s">
        <v>233</v>
      </c>
      <c r="S394" s="164"/>
      <c r="T394" s="164"/>
      <c r="U394" s="164" t="s">
        <v>3153</v>
      </c>
      <c r="V394" s="262"/>
      <c r="W394" s="264">
        <v>1</v>
      </c>
      <c r="X394" s="158" t="s">
        <v>273</v>
      </c>
      <c r="Y394" s="262" t="s">
        <v>256</v>
      </c>
      <c r="Z394" s="265">
        <v>0</v>
      </c>
      <c r="AA394" s="164" t="s">
        <v>3153</v>
      </c>
      <c r="AB394" s="164" t="s">
        <v>3155</v>
      </c>
      <c r="AC394" s="157" t="s">
        <v>52</v>
      </c>
      <c r="AD394" s="164" t="s">
        <v>238</v>
      </c>
      <c r="AE394" s="262" t="s">
        <v>1851</v>
      </c>
      <c r="AF394" s="164" t="s">
        <v>3155</v>
      </c>
      <c r="AG394" s="164"/>
      <c r="AH394" s="164"/>
      <c r="AI394" s="164"/>
      <c r="AJ394" s="164" t="s">
        <v>241</v>
      </c>
      <c r="AK394" s="164" t="s">
        <v>238</v>
      </c>
      <c r="AL394" s="164"/>
      <c r="AM394" s="164"/>
      <c r="AN394" s="164"/>
      <c r="AO394" s="164"/>
      <c r="AP394" s="164"/>
      <c r="AQ394" s="164"/>
      <c r="AR394" s="164"/>
      <c r="AS394" s="266">
        <v>107</v>
      </c>
      <c r="AT394" s="195"/>
      <c r="AU394" s="195"/>
      <c r="AV394" s="195"/>
      <c r="AW394" s="195"/>
      <c r="AX394" s="195"/>
      <c r="AY394" s="267"/>
      <c r="AZ394" s="267"/>
      <c r="BA394" s="267"/>
      <c r="BB394" s="263"/>
      <c r="BC394" s="165">
        <v>96</v>
      </c>
      <c r="BD394" s="165"/>
      <c r="BE394" s="262"/>
      <c r="BF394" s="157"/>
      <c r="BG394" s="164" t="s">
        <v>3156</v>
      </c>
      <c r="BH394" s="164"/>
      <c r="BI394" s="158" t="s">
        <v>3156</v>
      </c>
      <c r="BJ394" s="158"/>
      <c r="BK394" s="156">
        <v>3</v>
      </c>
    </row>
    <row x14ac:dyDescent="0.25" r="395" customHeight="1" ht="31.5">
      <c r="A395" s="50" t="s">
        <v>3157</v>
      </c>
      <c r="B395" s="155" t="s">
        <v>3158</v>
      </c>
      <c r="C395" s="51" t="s">
        <v>3159</v>
      </c>
      <c r="D395" s="51" t="s">
        <v>3159</v>
      </c>
      <c r="E395" s="155"/>
      <c r="F395" s="155" t="s">
        <v>1953</v>
      </c>
      <c r="G395" s="155" t="s">
        <v>975</v>
      </c>
      <c r="H395" s="51" t="s">
        <v>3160</v>
      </c>
      <c r="I395" s="32"/>
      <c r="J395" s="32"/>
      <c r="K395" s="5"/>
      <c r="L395" s="5"/>
      <c r="M395" s="5" t="s">
        <v>231</v>
      </c>
      <c r="N395" s="5"/>
      <c r="O395" s="33"/>
      <c r="P395" s="5"/>
      <c r="Q395" s="1" t="s">
        <v>251</v>
      </c>
      <c r="R395" s="31"/>
      <c r="S395" s="31"/>
      <c r="T395" s="31"/>
      <c r="U395" s="31" t="s">
        <v>3161</v>
      </c>
      <c r="V395" s="5"/>
      <c r="W395" s="40">
        <v>0</v>
      </c>
      <c r="X395" s="41" t="s">
        <v>386</v>
      </c>
      <c r="Y395" s="42"/>
      <c r="Z395" s="38" t="s">
        <v>386</v>
      </c>
      <c r="AA395" s="31" t="s">
        <v>3159</v>
      </c>
      <c r="AB395" s="31" t="s">
        <v>3162</v>
      </c>
      <c r="AC395" s="5" t="s">
        <v>24</v>
      </c>
      <c r="AD395" s="5" t="s">
        <v>259</v>
      </c>
      <c r="AE395" s="169" t="s">
        <v>1957</v>
      </c>
      <c r="AF395" s="5" t="s">
        <v>292</v>
      </c>
      <c r="AG395" s="5" t="s">
        <v>85</v>
      </c>
      <c r="AH395" s="5"/>
      <c r="AI395" s="5"/>
      <c r="AJ395" s="5" t="s">
        <v>262</v>
      </c>
      <c r="AK395" s="5" t="s">
        <v>259</v>
      </c>
      <c r="AL395" s="5"/>
      <c r="AM395" s="5"/>
      <c r="AN395" s="5"/>
      <c r="AO395" s="5"/>
      <c r="AP395" s="5"/>
      <c r="AQ395" s="5"/>
      <c r="AR395" s="5"/>
      <c r="AS395" s="30">
        <v>130</v>
      </c>
      <c r="AT395" s="37"/>
      <c r="AU395" s="37"/>
      <c r="AV395" s="37"/>
      <c r="AW395" s="37"/>
      <c r="AX395" s="37"/>
      <c r="AY395" s="38"/>
      <c r="AZ395" s="38"/>
      <c r="BA395" s="38"/>
      <c r="BB395" s="46"/>
      <c r="BC395" s="37"/>
      <c r="BD395" s="37"/>
      <c r="BE395" s="5"/>
      <c r="BF395" s="5"/>
      <c r="BG395" s="31"/>
      <c r="BH395" s="31"/>
      <c r="BI395" s="31"/>
      <c r="BJ395" s="48"/>
      <c r="BK395" s="49"/>
    </row>
    <row x14ac:dyDescent="0.25" r="396" customHeight="1" ht="31.5">
      <c r="A396" s="50" t="s">
        <v>387</v>
      </c>
      <c r="B396" s="155" t="s">
        <v>3163</v>
      </c>
      <c r="C396" s="51" t="s">
        <v>3164</v>
      </c>
      <c r="D396" s="51" t="s">
        <v>3165</v>
      </c>
      <c r="E396" s="155"/>
      <c r="F396" s="155" t="s">
        <v>577</v>
      </c>
      <c r="G396" s="155" t="s">
        <v>975</v>
      </c>
      <c r="H396" s="51" t="s">
        <v>3166</v>
      </c>
      <c r="I396" s="32"/>
      <c r="J396" s="32"/>
      <c r="K396" s="5"/>
      <c r="L396" s="5"/>
      <c r="M396" s="5" t="s">
        <v>820</v>
      </c>
      <c r="N396" s="5" t="s">
        <v>232</v>
      </c>
      <c r="O396" s="33"/>
      <c r="P396" s="5"/>
      <c r="Q396" s="1" t="s">
        <v>233</v>
      </c>
      <c r="R396" s="31" t="s">
        <v>3167</v>
      </c>
      <c r="S396" s="31"/>
      <c r="T396" s="31"/>
      <c r="U396" s="31" t="s">
        <v>3168</v>
      </c>
      <c r="V396" s="5"/>
      <c r="W396" s="40">
        <v>1</v>
      </c>
      <c r="X396" s="41" t="s">
        <v>273</v>
      </c>
      <c r="Y396" s="42" t="s">
        <v>2100</v>
      </c>
      <c r="Z396" s="35">
        <v>0</v>
      </c>
      <c r="AA396" s="31"/>
      <c r="AB396" s="31" t="s">
        <v>3169</v>
      </c>
      <c r="AC396" s="5" t="s">
        <v>38</v>
      </c>
      <c r="AD396" s="31" t="s">
        <v>238</v>
      </c>
      <c r="AE396" s="36" t="s">
        <v>2858</v>
      </c>
      <c r="AF396" s="31" t="s">
        <v>3022</v>
      </c>
      <c r="AG396" s="31"/>
      <c r="AH396" s="31" t="s">
        <v>27</v>
      </c>
      <c r="AI396" s="31"/>
      <c r="AJ396" s="31" t="s">
        <v>241</v>
      </c>
      <c r="AK396" s="31" t="s">
        <v>238</v>
      </c>
      <c r="AL396" s="5"/>
      <c r="AM396" s="31" t="s">
        <v>2860</v>
      </c>
      <c r="AN396" s="31"/>
      <c r="AO396" s="31"/>
      <c r="AP396" s="31"/>
      <c r="AQ396" s="31"/>
      <c r="AR396" s="31"/>
      <c r="AS396" s="268" t="s">
        <v>3170</v>
      </c>
      <c r="AT396" s="37">
        <v>35</v>
      </c>
      <c r="AU396" s="37"/>
      <c r="AV396" s="37"/>
      <c r="AW396" s="37"/>
      <c r="AX396" s="37"/>
      <c r="AY396" s="38"/>
      <c r="AZ396" s="38"/>
      <c r="BA396" s="38"/>
      <c r="BB396" s="46"/>
      <c r="BC396" s="37"/>
      <c r="BD396" s="37"/>
      <c r="BE396" s="5"/>
      <c r="BF396" s="5"/>
      <c r="BG396" s="47" t="s">
        <v>3171</v>
      </c>
      <c r="BH396" s="47"/>
      <c r="BI396" s="31" t="s">
        <v>3171</v>
      </c>
      <c r="BJ396" s="48"/>
      <c r="BK396" s="49">
        <v>1</v>
      </c>
    </row>
    <row x14ac:dyDescent="0.25" r="397" customHeight="1" ht="31.5">
      <c r="A397" s="50">
        <v>30039</v>
      </c>
      <c r="B397" s="155" t="s">
        <v>3172</v>
      </c>
      <c r="C397" s="51" t="s">
        <v>3173</v>
      </c>
      <c r="D397" s="51" t="s">
        <v>3174</v>
      </c>
      <c r="E397" s="155"/>
      <c r="F397" s="155" t="s">
        <v>226</v>
      </c>
      <c r="G397" s="155" t="s">
        <v>975</v>
      </c>
      <c r="H397" s="51" t="s">
        <v>3175</v>
      </c>
      <c r="I397" s="32"/>
      <c r="J397" s="32"/>
      <c r="K397" s="5"/>
      <c r="L397" s="5"/>
      <c r="M397" s="5" t="s">
        <v>820</v>
      </c>
      <c r="N397" s="5" t="s">
        <v>232</v>
      </c>
      <c r="O397" s="33"/>
      <c r="P397" s="5"/>
      <c r="Q397" s="1" t="s">
        <v>233</v>
      </c>
      <c r="R397" s="31" t="s">
        <v>233</v>
      </c>
      <c r="S397" s="31"/>
      <c r="T397" s="31"/>
      <c r="U397" s="31" t="s">
        <v>3176</v>
      </c>
      <c r="V397" s="5"/>
      <c r="W397" s="40">
        <v>1</v>
      </c>
      <c r="X397" s="41" t="s">
        <v>273</v>
      </c>
      <c r="Y397" s="5" t="s">
        <v>256</v>
      </c>
      <c r="Z397" s="35">
        <v>0</v>
      </c>
      <c r="AA397" s="31" t="s">
        <v>3177</v>
      </c>
      <c r="AB397" s="31" t="s">
        <v>3178</v>
      </c>
      <c r="AC397" s="5" t="s">
        <v>52</v>
      </c>
      <c r="AD397" s="31" t="s">
        <v>238</v>
      </c>
      <c r="AE397" s="36" t="s">
        <v>2858</v>
      </c>
      <c r="AF397" s="31" t="s">
        <v>3030</v>
      </c>
      <c r="AG397" s="31"/>
      <c r="AH397" s="31"/>
      <c r="AI397" s="31"/>
      <c r="AJ397" s="31" t="s">
        <v>241</v>
      </c>
      <c r="AK397" s="31" t="s">
        <v>238</v>
      </c>
      <c r="AL397" s="5"/>
      <c r="AM397" s="31" t="s">
        <v>2860</v>
      </c>
      <c r="AN397" s="31"/>
      <c r="AO397" s="31"/>
      <c r="AP397" s="31"/>
      <c r="AQ397" s="31"/>
      <c r="AR397" s="31"/>
      <c r="AS397" s="268" t="s">
        <v>3179</v>
      </c>
      <c r="AT397" s="37">
        <v>36</v>
      </c>
      <c r="AU397" s="37"/>
      <c r="AV397" s="37"/>
      <c r="AW397" s="37"/>
      <c r="AX397" s="37"/>
      <c r="AY397" s="34"/>
      <c r="AZ397" s="38"/>
      <c r="BA397" s="38"/>
      <c r="BB397" s="46"/>
      <c r="BC397" s="37"/>
      <c r="BD397" s="37"/>
      <c r="BE397" s="5"/>
      <c r="BF397" s="5"/>
      <c r="BG397" s="47" t="s">
        <v>3180</v>
      </c>
      <c r="BH397" s="47"/>
      <c r="BI397" s="31" t="s">
        <v>3180</v>
      </c>
      <c r="BJ397" s="48"/>
      <c r="BK397" s="49">
        <v>1</v>
      </c>
    </row>
    <row x14ac:dyDescent="0.25" r="398" customHeight="1" ht="31.5">
      <c r="A398" s="50" t="s">
        <v>3181</v>
      </c>
      <c r="B398" s="155" t="s">
        <v>3182</v>
      </c>
      <c r="C398" s="51" t="s">
        <v>3183</v>
      </c>
      <c r="D398" s="51" t="s">
        <v>3184</v>
      </c>
      <c r="E398" s="155"/>
      <c r="F398" s="155" t="s">
        <v>577</v>
      </c>
      <c r="G398" s="155" t="s">
        <v>975</v>
      </c>
      <c r="H398" s="51" t="s">
        <v>3185</v>
      </c>
      <c r="I398" s="32"/>
      <c r="J398" s="32"/>
      <c r="K398" s="5"/>
      <c r="L398" s="5"/>
      <c r="M398" s="5" t="s">
        <v>820</v>
      </c>
      <c r="N398" s="5" t="s">
        <v>232</v>
      </c>
      <c r="O398" s="33"/>
      <c r="P398" s="5"/>
      <c r="Q398" s="1" t="s">
        <v>233</v>
      </c>
      <c r="R398" s="31" t="s">
        <v>286</v>
      </c>
      <c r="S398" s="31"/>
      <c r="T398" s="31"/>
      <c r="U398" s="31" t="s">
        <v>3186</v>
      </c>
      <c r="V398" s="5"/>
      <c r="W398" s="40">
        <v>1</v>
      </c>
      <c r="X398" s="41" t="s">
        <v>821</v>
      </c>
      <c r="Y398" s="42" t="s">
        <v>979</v>
      </c>
      <c r="Z398" s="35">
        <v>0</v>
      </c>
      <c r="AA398" s="31" t="s">
        <v>3187</v>
      </c>
      <c r="AB398" s="31" t="s">
        <v>3188</v>
      </c>
      <c r="AC398" s="5" t="s">
        <v>38</v>
      </c>
      <c r="AD398" s="31" t="s">
        <v>259</v>
      </c>
      <c r="AE398" s="36" t="s">
        <v>3189</v>
      </c>
      <c r="AF398" s="31" t="s">
        <v>292</v>
      </c>
      <c r="AG398" s="31" t="s">
        <v>120</v>
      </c>
      <c r="AH398" s="31" t="s">
        <v>27</v>
      </c>
      <c r="AI398" s="31" t="s">
        <v>3190</v>
      </c>
      <c r="AJ398" s="31"/>
      <c r="AK398" s="31" t="s">
        <v>1036</v>
      </c>
      <c r="AL398" s="5" t="s">
        <v>3191</v>
      </c>
      <c r="AM398" s="5"/>
      <c r="AN398" s="31"/>
      <c r="AO398" s="31"/>
      <c r="AP398" s="31"/>
      <c r="AQ398" s="31"/>
      <c r="AR398" s="31"/>
      <c r="AS398" s="30"/>
      <c r="AT398" s="37">
        <v>15</v>
      </c>
      <c r="AU398" s="37"/>
      <c r="AV398" s="37"/>
      <c r="AW398" s="37"/>
      <c r="AX398" s="37"/>
      <c r="AY398" s="38"/>
      <c r="AZ398" s="38"/>
      <c r="BA398" s="38"/>
      <c r="BB398" s="46"/>
      <c r="BC398" s="37"/>
      <c r="BD398" s="37"/>
      <c r="BE398" s="5"/>
      <c r="BF398" s="5"/>
      <c r="BG398" s="31" t="s">
        <v>3192</v>
      </c>
      <c r="BH398" s="31"/>
      <c r="BI398" s="31" t="s">
        <v>3192</v>
      </c>
      <c r="BJ398" s="48"/>
      <c r="BK398" s="49">
        <v>1</v>
      </c>
    </row>
    <row x14ac:dyDescent="0.25" r="399" customHeight="1" ht="31.5">
      <c r="A399" s="50">
        <v>30023</v>
      </c>
      <c r="B399" s="155" t="s">
        <v>3193</v>
      </c>
      <c r="C399" s="51" t="s">
        <v>3194</v>
      </c>
      <c r="D399" s="51" t="s">
        <v>3195</v>
      </c>
      <c r="E399" s="155"/>
      <c r="F399" s="155" t="s">
        <v>226</v>
      </c>
      <c r="G399" s="155" t="s">
        <v>975</v>
      </c>
      <c r="H399" s="51" t="s">
        <v>2853</v>
      </c>
      <c r="I399" s="32"/>
      <c r="J399" s="32"/>
      <c r="K399" s="5"/>
      <c r="L399" s="5"/>
      <c r="M399" s="5" t="s">
        <v>820</v>
      </c>
      <c r="N399" s="5" t="s">
        <v>232</v>
      </c>
      <c r="O399" s="33"/>
      <c r="P399" s="5"/>
      <c r="Q399" s="1" t="s">
        <v>251</v>
      </c>
      <c r="R399" s="31" t="s">
        <v>286</v>
      </c>
      <c r="S399" s="31"/>
      <c r="T399" s="31"/>
      <c r="U399" s="31" t="s">
        <v>3196</v>
      </c>
      <c r="V399" s="5"/>
      <c r="W399" s="40">
        <v>1</v>
      </c>
      <c r="X399" s="55" t="s">
        <v>821</v>
      </c>
      <c r="Y399" s="42" t="s">
        <v>256</v>
      </c>
      <c r="Z399" s="35">
        <v>0</v>
      </c>
      <c r="AA399" s="31" t="s">
        <v>3197</v>
      </c>
      <c r="AB399" s="31" t="s">
        <v>3198</v>
      </c>
      <c r="AC399" s="5" t="s">
        <v>38</v>
      </c>
      <c r="AD399" s="31" t="s">
        <v>259</v>
      </c>
      <c r="AE399" s="36" t="s">
        <v>3189</v>
      </c>
      <c r="AF399" s="31" t="s">
        <v>292</v>
      </c>
      <c r="AG399" s="31" t="s">
        <v>94</v>
      </c>
      <c r="AH399" s="31" t="s">
        <v>67</v>
      </c>
      <c r="AI399" s="31" t="s">
        <v>3190</v>
      </c>
      <c r="AJ399" s="31"/>
      <c r="AK399" s="31" t="s">
        <v>1036</v>
      </c>
      <c r="AL399" s="5" t="s">
        <v>3191</v>
      </c>
      <c r="AM399" s="5"/>
      <c r="AN399" s="31"/>
      <c r="AO399" s="31"/>
      <c r="AP399" s="31"/>
      <c r="AQ399" s="31"/>
      <c r="AR399" s="31"/>
      <c r="AS399" s="30"/>
      <c r="AT399" s="37">
        <v>19</v>
      </c>
      <c r="AU399" s="37"/>
      <c r="AV399" s="37"/>
      <c r="AW399" s="37"/>
      <c r="AX399" s="37"/>
      <c r="AY399" s="38"/>
      <c r="AZ399" s="38"/>
      <c r="BA399" s="38"/>
      <c r="BB399" s="46"/>
      <c r="BC399" s="37"/>
      <c r="BD399" s="37"/>
      <c r="BE399" s="5"/>
      <c r="BF399" s="5"/>
      <c r="BG399" s="31" t="s">
        <v>3199</v>
      </c>
      <c r="BH399" s="31"/>
      <c r="BI399" s="31" t="s">
        <v>3199</v>
      </c>
      <c r="BJ399" s="48"/>
      <c r="BK399" s="49">
        <v>1</v>
      </c>
    </row>
    <row x14ac:dyDescent="0.25" r="400" customHeight="1" ht="31.5">
      <c r="A400" s="50">
        <v>30018</v>
      </c>
      <c r="B400" s="155" t="s">
        <v>3200</v>
      </c>
      <c r="C400" s="51" t="s">
        <v>3201</v>
      </c>
      <c r="D400" s="51" t="s">
        <v>3202</v>
      </c>
      <c r="E400" s="155"/>
      <c r="F400" s="155" t="s">
        <v>577</v>
      </c>
      <c r="G400" s="155" t="s">
        <v>975</v>
      </c>
      <c r="H400" s="51" t="s">
        <v>3203</v>
      </c>
      <c r="I400" s="32"/>
      <c r="J400" s="32"/>
      <c r="K400" s="5"/>
      <c r="L400" s="5"/>
      <c r="M400" s="5" t="s">
        <v>820</v>
      </c>
      <c r="N400" s="5" t="s">
        <v>232</v>
      </c>
      <c r="O400" s="33"/>
      <c r="P400" s="5"/>
      <c r="Q400" s="1" t="s">
        <v>251</v>
      </c>
      <c r="R400" s="31" t="s">
        <v>286</v>
      </c>
      <c r="S400" s="31"/>
      <c r="T400" s="31"/>
      <c r="U400" s="31" t="s">
        <v>3204</v>
      </c>
      <c r="V400" s="5"/>
      <c r="W400" s="40">
        <v>1</v>
      </c>
      <c r="X400" s="55" t="s">
        <v>821</v>
      </c>
      <c r="Y400" s="42" t="s">
        <v>3080</v>
      </c>
      <c r="Z400" s="35">
        <v>0</v>
      </c>
      <c r="AA400" s="31" t="s">
        <v>3205</v>
      </c>
      <c r="AB400" s="31" t="s">
        <v>3206</v>
      </c>
      <c r="AC400" s="5" t="s">
        <v>38</v>
      </c>
      <c r="AD400" s="31" t="s">
        <v>259</v>
      </c>
      <c r="AE400" s="36" t="s">
        <v>3189</v>
      </c>
      <c r="AF400" s="31" t="s">
        <v>292</v>
      </c>
      <c r="AG400" s="31" t="s">
        <v>83</v>
      </c>
      <c r="AH400" s="31" t="s">
        <v>55</v>
      </c>
      <c r="AI400" s="31" t="s">
        <v>3190</v>
      </c>
      <c r="AJ400" s="31"/>
      <c r="AK400" s="31" t="s">
        <v>1036</v>
      </c>
      <c r="AL400" s="5" t="s">
        <v>3191</v>
      </c>
      <c r="AM400" s="5"/>
      <c r="AN400" s="31"/>
      <c r="AO400" s="31"/>
      <c r="AP400" s="31"/>
      <c r="AQ400" s="31"/>
      <c r="AR400" s="31"/>
      <c r="AS400" s="30"/>
      <c r="AT400" s="37">
        <v>18</v>
      </c>
      <c r="AU400" s="37"/>
      <c r="AV400" s="37"/>
      <c r="AW400" s="37"/>
      <c r="AX400" s="37"/>
      <c r="AY400" s="38"/>
      <c r="AZ400" s="38"/>
      <c r="BA400" s="38"/>
      <c r="BB400" s="46"/>
      <c r="BC400" s="37"/>
      <c r="BD400" s="37"/>
      <c r="BE400" s="5"/>
      <c r="BF400" s="5"/>
      <c r="BG400" s="31" t="s">
        <v>3207</v>
      </c>
      <c r="BH400" s="31"/>
      <c r="BI400" s="31" t="s">
        <v>3207</v>
      </c>
      <c r="BJ400" s="48"/>
      <c r="BK400" s="49">
        <v>1</v>
      </c>
    </row>
    <row x14ac:dyDescent="0.25" r="401" customHeight="1" ht="31.5">
      <c r="A401" s="50">
        <v>30017</v>
      </c>
      <c r="B401" s="155" t="s">
        <v>3208</v>
      </c>
      <c r="C401" s="51" t="s">
        <v>3209</v>
      </c>
      <c r="D401" s="51" t="s">
        <v>3210</v>
      </c>
      <c r="E401" s="155"/>
      <c r="F401" s="155" t="s">
        <v>577</v>
      </c>
      <c r="G401" s="155" t="s">
        <v>975</v>
      </c>
      <c r="H401" s="51" t="s">
        <v>3211</v>
      </c>
      <c r="I401" s="32"/>
      <c r="J401" s="32"/>
      <c r="K401" s="5"/>
      <c r="L401" s="5"/>
      <c r="M401" s="5" t="s">
        <v>820</v>
      </c>
      <c r="N401" s="5" t="s">
        <v>232</v>
      </c>
      <c r="O401" s="33"/>
      <c r="P401" s="5"/>
      <c r="Q401" s="1" t="s">
        <v>251</v>
      </c>
      <c r="R401" s="31" t="s">
        <v>286</v>
      </c>
      <c r="S401" s="31"/>
      <c r="T401" s="31" t="s">
        <v>3212</v>
      </c>
      <c r="U401" s="31" t="s">
        <v>3213</v>
      </c>
      <c r="V401" s="5"/>
      <c r="W401" s="40">
        <v>1</v>
      </c>
      <c r="X401" s="55" t="s">
        <v>821</v>
      </c>
      <c r="Y401" s="42" t="s">
        <v>3045</v>
      </c>
      <c r="Z401" s="35">
        <v>0</v>
      </c>
      <c r="AA401" s="31" t="s">
        <v>3214</v>
      </c>
      <c r="AB401" s="31" t="s">
        <v>3215</v>
      </c>
      <c r="AC401" s="5" t="s">
        <v>38</v>
      </c>
      <c r="AD401" s="31" t="s">
        <v>259</v>
      </c>
      <c r="AE401" s="36" t="s">
        <v>3189</v>
      </c>
      <c r="AF401" s="31" t="s">
        <v>292</v>
      </c>
      <c r="AG401" s="31" t="s">
        <v>33</v>
      </c>
      <c r="AH401" s="31" t="s">
        <v>41</v>
      </c>
      <c r="AI401" s="31" t="s">
        <v>3190</v>
      </c>
      <c r="AJ401" s="31"/>
      <c r="AK401" s="31" t="s">
        <v>1036</v>
      </c>
      <c r="AL401" s="5" t="s">
        <v>3191</v>
      </c>
      <c r="AM401" s="5"/>
      <c r="AN401" s="31"/>
      <c r="AO401" s="31"/>
      <c r="AP401" s="31"/>
      <c r="AQ401" s="31"/>
      <c r="AR401" s="31"/>
      <c r="AS401" s="30"/>
      <c r="AT401" s="37">
        <v>13</v>
      </c>
      <c r="AU401" s="37"/>
      <c r="AV401" s="37"/>
      <c r="AW401" s="37"/>
      <c r="AX401" s="37"/>
      <c r="AY401" s="38"/>
      <c r="AZ401" s="38"/>
      <c r="BA401" s="38"/>
      <c r="BB401" s="46"/>
      <c r="BC401" s="37"/>
      <c r="BD401" s="37"/>
      <c r="BE401" s="5"/>
      <c r="BF401" s="5"/>
      <c r="BG401" s="31" t="s">
        <v>3216</v>
      </c>
      <c r="BH401" s="31"/>
      <c r="BI401" s="31" t="s">
        <v>3216</v>
      </c>
      <c r="BJ401" s="48"/>
      <c r="BK401" s="49">
        <v>1</v>
      </c>
    </row>
    <row x14ac:dyDescent="0.25" r="402" customHeight="1" ht="31.5">
      <c r="A402" s="50">
        <v>30016</v>
      </c>
      <c r="B402" s="155" t="s">
        <v>3217</v>
      </c>
      <c r="C402" s="51" t="s">
        <v>3218</v>
      </c>
      <c r="D402" s="51" t="s">
        <v>3219</v>
      </c>
      <c r="E402" s="155"/>
      <c r="F402" s="155" t="s">
        <v>577</v>
      </c>
      <c r="G402" s="155" t="s">
        <v>975</v>
      </c>
      <c r="H402" s="51" t="s">
        <v>3220</v>
      </c>
      <c r="I402" s="32"/>
      <c r="J402" s="32"/>
      <c r="K402" s="5"/>
      <c r="L402" s="5"/>
      <c r="M402" s="5" t="s">
        <v>820</v>
      </c>
      <c r="N402" s="5" t="s">
        <v>232</v>
      </c>
      <c r="O402" s="33"/>
      <c r="P402" s="5"/>
      <c r="Q402" s="1" t="s">
        <v>251</v>
      </c>
      <c r="R402" s="31" t="s">
        <v>286</v>
      </c>
      <c r="S402" s="31"/>
      <c r="T402" s="31"/>
      <c r="U402" s="31" t="s">
        <v>3221</v>
      </c>
      <c r="V402" s="5"/>
      <c r="W402" s="40">
        <v>1</v>
      </c>
      <c r="X402" s="55" t="s">
        <v>821</v>
      </c>
      <c r="Y402" s="42" t="s">
        <v>758</v>
      </c>
      <c r="Z402" s="35">
        <v>0</v>
      </c>
      <c r="AA402" s="31" t="s">
        <v>3222</v>
      </c>
      <c r="AB402" s="31" t="s">
        <v>3223</v>
      </c>
      <c r="AC402" s="5" t="s">
        <v>38</v>
      </c>
      <c r="AD402" s="31" t="s">
        <v>259</v>
      </c>
      <c r="AE402" s="36" t="s">
        <v>3189</v>
      </c>
      <c r="AF402" s="31" t="s">
        <v>292</v>
      </c>
      <c r="AG402" s="31" t="s">
        <v>19</v>
      </c>
      <c r="AH402" s="31" t="s">
        <v>27</v>
      </c>
      <c r="AI402" s="31" t="s">
        <v>3190</v>
      </c>
      <c r="AJ402" s="31"/>
      <c r="AK402" s="31" t="s">
        <v>1036</v>
      </c>
      <c r="AL402" s="5" t="s">
        <v>3191</v>
      </c>
      <c r="AM402" s="5"/>
      <c r="AN402" s="31"/>
      <c r="AO402" s="31"/>
      <c r="AP402" s="31"/>
      <c r="AQ402" s="31"/>
      <c r="AR402" s="31"/>
      <c r="AS402" s="30"/>
      <c r="AT402" s="37">
        <v>12</v>
      </c>
      <c r="AU402" s="37"/>
      <c r="AV402" s="37"/>
      <c r="AW402" s="37"/>
      <c r="AX402" s="37"/>
      <c r="AY402" s="38"/>
      <c r="AZ402" s="38"/>
      <c r="BA402" s="38"/>
      <c r="BB402" s="46"/>
      <c r="BC402" s="37"/>
      <c r="BD402" s="37"/>
      <c r="BE402" s="5"/>
      <c r="BF402" s="5"/>
      <c r="BG402" s="31" t="s">
        <v>3224</v>
      </c>
      <c r="BH402" s="31"/>
      <c r="BI402" s="31" t="s">
        <v>3224</v>
      </c>
      <c r="BJ402" s="48"/>
      <c r="BK402" s="49">
        <v>1</v>
      </c>
    </row>
    <row x14ac:dyDescent="0.25" r="403" customHeight="1" ht="31.5">
      <c r="A403" s="50">
        <v>30019</v>
      </c>
      <c r="B403" s="155" t="s">
        <v>3225</v>
      </c>
      <c r="C403" s="51" t="s">
        <v>3226</v>
      </c>
      <c r="D403" s="51" t="s">
        <v>3227</v>
      </c>
      <c r="E403" s="155"/>
      <c r="F403" s="155" t="s">
        <v>577</v>
      </c>
      <c r="G403" s="155" t="s">
        <v>975</v>
      </c>
      <c r="H403" s="51" t="s">
        <v>3185</v>
      </c>
      <c r="I403" s="32"/>
      <c r="J403" s="32"/>
      <c r="K403" s="5"/>
      <c r="L403" s="5"/>
      <c r="M403" s="5" t="s">
        <v>820</v>
      </c>
      <c r="N403" s="5" t="s">
        <v>232</v>
      </c>
      <c r="O403" s="33"/>
      <c r="P403" s="5"/>
      <c r="Q403" s="1" t="s">
        <v>251</v>
      </c>
      <c r="R403" s="31" t="s">
        <v>286</v>
      </c>
      <c r="S403" s="31"/>
      <c r="T403" s="31"/>
      <c r="U403" s="31" t="s">
        <v>3228</v>
      </c>
      <c r="V403" s="5"/>
      <c r="W403" s="40">
        <v>1</v>
      </c>
      <c r="X403" s="55" t="s">
        <v>821</v>
      </c>
      <c r="Y403" s="42" t="s">
        <v>3054</v>
      </c>
      <c r="Z403" s="35">
        <v>0</v>
      </c>
      <c r="AA403" s="31" t="s">
        <v>3229</v>
      </c>
      <c r="AB403" s="31" t="s">
        <v>3230</v>
      </c>
      <c r="AC403" s="5" t="s">
        <v>38</v>
      </c>
      <c r="AD403" s="31" t="s">
        <v>259</v>
      </c>
      <c r="AE403" s="36" t="s">
        <v>3189</v>
      </c>
      <c r="AF403" s="31" t="s">
        <v>292</v>
      </c>
      <c r="AG403" s="31" t="s">
        <v>47</v>
      </c>
      <c r="AH403" s="31" t="s">
        <v>27</v>
      </c>
      <c r="AI403" s="31" t="s">
        <v>3190</v>
      </c>
      <c r="AJ403" s="31"/>
      <c r="AK403" s="31" t="s">
        <v>1036</v>
      </c>
      <c r="AL403" s="5" t="s">
        <v>3191</v>
      </c>
      <c r="AM403" s="5"/>
      <c r="AN403" s="31"/>
      <c r="AO403" s="31"/>
      <c r="AP403" s="31"/>
      <c r="AQ403" s="31"/>
      <c r="AR403" s="31"/>
      <c r="AS403" s="30"/>
      <c r="AT403" s="37">
        <v>14</v>
      </c>
      <c r="AU403" s="37"/>
      <c r="AV403" s="37"/>
      <c r="AW403" s="37"/>
      <c r="AX403" s="37"/>
      <c r="AY403" s="38"/>
      <c r="AZ403" s="38"/>
      <c r="BA403" s="38"/>
      <c r="BB403" s="46"/>
      <c r="BC403" s="37"/>
      <c r="BD403" s="37"/>
      <c r="BE403" s="5"/>
      <c r="BF403" s="5"/>
      <c r="BG403" s="31" t="s">
        <v>3231</v>
      </c>
      <c r="BH403" s="31"/>
      <c r="BI403" s="31" t="s">
        <v>3231</v>
      </c>
      <c r="BJ403" s="48"/>
      <c r="BK403" s="49">
        <v>1</v>
      </c>
    </row>
    <row x14ac:dyDescent="0.25" r="404" customHeight="1" ht="31.5">
      <c r="A404" s="50">
        <v>30024</v>
      </c>
      <c r="B404" s="155" t="s">
        <v>3232</v>
      </c>
      <c r="C404" s="51" t="s">
        <v>3233</v>
      </c>
      <c r="D404" s="51" t="s">
        <v>3234</v>
      </c>
      <c r="E404" s="155"/>
      <c r="F404" s="155" t="s">
        <v>226</v>
      </c>
      <c r="G404" s="155" t="s">
        <v>975</v>
      </c>
      <c r="H404" s="51" t="s">
        <v>3235</v>
      </c>
      <c r="I404" s="32"/>
      <c r="J404" s="32"/>
      <c r="K404" s="5"/>
      <c r="L404" s="5"/>
      <c r="M404" s="5" t="s">
        <v>820</v>
      </c>
      <c r="N404" s="5" t="s">
        <v>232</v>
      </c>
      <c r="O404" s="33"/>
      <c r="P404" s="5"/>
      <c r="Q404" s="1" t="s">
        <v>251</v>
      </c>
      <c r="R404" s="31" t="s">
        <v>286</v>
      </c>
      <c r="S404" s="31"/>
      <c r="T404" s="31"/>
      <c r="U404" s="31" t="s">
        <v>3236</v>
      </c>
      <c r="V404" s="5"/>
      <c r="W404" s="40">
        <v>1</v>
      </c>
      <c r="X404" s="55" t="s">
        <v>821</v>
      </c>
      <c r="Y404" s="42" t="s">
        <v>256</v>
      </c>
      <c r="Z404" s="35">
        <v>0</v>
      </c>
      <c r="AA404" s="31" t="s">
        <v>3237</v>
      </c>
      <c r="AB404" s="31" t="s">
        <v>3238</v>
      </c>
      <c r="AC404" s="5" t="s">
        <v>38</v>
      </c>
      <c r="AD404" s="31" t="s">
        <v>259</v>
      </c>
      <c r="AE404" s="36" t="s">
        <v>3189</v>
      </c>
      <c r="AF404" s="31" t="s">
        <v>292</v>
      </c>
      <c r="AG404" s="31" t="s">
        <v>103</v>
      </c>
      <c r="AH404" s="31" t="s">
        <v>67</v>
      </c>
      <c r="AI404" s="31" t="s">
        <v>3190</v>
      </c>
      <c r="AJ404" s="31"/>
      <c r="AK404" s="31" t="s">
        <v>1036</v>
      </c>
      <c r="AL404" s="5" t="s">
        <v>3191</v>
      </c>
      <c r="AM404" s="5"/>
      <c r="AN404" s="31"/>
      <c r="AO404" s="31"/>
      <c r="AP404" s="31"/>
      <c r="AQ404" s="31"/>
      <c r="AR404" s="31"/>
      <c r="AS404" s="30"/>
      <c r="AT404" s="37">
        <v>20</v>
      </c>
      <c r="AU404" s="37"/>
      <c r="AV404" s="37"/>
      <c r="AW404" s="37"/>
      <c r="AX404" s="37"/>
      <c r="AY404" s="38"/>
      <c r="AZ404" s="38"/>
      <c r="BA404" s="38"/>
      <c r="BB404" s="46"/>
      <c r="BC404" s="37"/>
      <c r="BD404" s="37"/>
      <c r="BE404" s="5"/>
      <c r="BF404" s="5"/>
      <c r="BG404" s="31" t="s">
        <v>3239</v>
      </c>
      <c r="BH404" s="31"/>
      <c r="BI404" s="31" t="s">
        <v>3239</v>
      </c>
      <c r="BJ404" s="48"/>
      <c r="BK404" s="49">
        <v>1</v>
      </c>
    </row>
    <row x14ac:dyDescent="0.25" r="405" customHeight="1" ht="31.5">
      <c r="A405" s="50">
        <v>30020</v>
      </c>
      <c r="B405" s="155" t="s">
        <v>3240</v>
      </c>
      <c r="C405" s="51" t="s">
        <v>3241</v>
      </c>
      <c r="D405" s="51" t="s">
        <v>3242</v>
      </c>
      <c r="E405" s="155"/>
      <c r="F405" s="155" t="s">
        <v>577</v>
      </c>
      <c r="G405" s="155" t="s">
        <v>975</v>
      </c>
      <c r="H405" s="51" t="s">
        <v>3243</v>
      </c>
      <c r="I405" s="32"/>
      <c r="J405" s="32"/>
      <c r="K405" s="5"/>
      <c r="L405" s="5"/>
      <c r="M405" s="5" t="s">
        <v>820</v>
      </c>
      <c r="N405" s="5" t="s">
        <v>232</v>
      </c>
      <c r="O405" s="33"/>
      <c r="P405" s="5"/>
      <c r="Q405" s="1" t="s">
        <v>251</v>
      </c>
      <c r="R405" s="31" t="s">
        <v>286</v>
      </c>
      <c r="S405" s="31"/>
      <c r="T405" s="31"/>
      <c r="U405" s="31" t="s">
        <v>3244</v>
      </c>
      <c r="V405" s="5"/>
      <c r="W405" s="34">
        <v>1</v>
      </c>
      <c r="X405" s="55" t="s">
        <v>821</v>
      </c>
      <c r="Y405" s="5" t="s">
        <v>3054</v>
      </c>
      <c r="Z405" s="35">
        <v>0</v>
      </c>
      <c r="AA405" s="31" t="s">
        <v>3245</v>
      </c>
      <c r="AB405" s="31" t="s">
        <v>3246</v>
      </c>
      <c r="AC405" s="5" t="s">
        <v>38</v>
      </c>
      <c r="AD405" s="31" t="s">
        <v>259</v>
      </c>
      <c r="AE405" s="36" t="s">
        <v>3189</v>
      </c>
      <c r="AF405" s="31" t="s">
        <v>292</v>
      </c>
      <c r="AG405" s="31" t="s">
        <v>59</v>
      </c>
      <c r="AH405" s="31" t="s">
        <v>27</v>
      </c>
      <c r="AI405" s="31" t="s">
        <v>3190</v>
      </c>
      <c r="AJ405" s="31"/>
      <c r="AK405" s="31" t="s">
        <v>1036</v>
      </c>
      <c r="AL405" s="5" t="s">
        <v>3191</v>
      </c>
      <c r="AM405" s="5"/>
      <c r="AN405" s="31"/>
      <c r="AO405" s="31"/>
      <c r="AP405" s="31"/>
      <c r="AQ405" s="31"/>
      <c r="AR405" s="31"/>
      <c r="AS405" s="30"/>
      <c r="AT405" s="37">
        <v>16</v>
      </c>
      <c r="AU405" s="37"/>
      <c r="AV405" s="37"/>
      <c r="AW405" s="37"/>
      <c r="AX405" s="37"/>
      <c r="AY405" s="38"/>
      <c r="AZ405" s="38"/>
      <c r="BA405" s="38"/>
      <c r="BB405" s="46"/>
      <c r="BC405" s="37"/>
      <c r="BD405" s="37"/>
      <c r="BE405" s="5"/>
      <c r="BF405" s="5"/>
      <c r="BG405" s="31" t="s">
        <v>3247</v>
      </c>
      <c r="BH405" s="31"/>
      <c r="BI405" s="31" t="s">
        <v>3247</v>
      </c>
      <c r="BJ405" s="48"/>
      <c r="BK405" s="49">
        <v>1</v>
      </c>
    </row>
    <row x14ac:dyDescent="0.25" r="406" customHeight="1" ht="31.5">
      <c r="A406" s="50">
        <v>30021</v>
      </c>
      <c r="B406" s="155" t="s">
        <v>3248</v>
      </c>
      <c r="C406" s="51" t="s">
        <v>3249</v>
      </c>
      <c r="D406" s="51" t="s">
        <v>3250</v>
      </c>
      <c r="E406" s="155"/>
      <c r="F406" s="155" t="s">
        <v>577</v>
      </c>
      <c r="G406" s="155" t="s">
        <v>975</v>
      </c>
      <c r="H406" s="51" t="s">
        <v>3251</v>
      </c>
      <c r="I406" s="32"/>
      <c r="J406" s="32"/>
      <c r="K406" s="5"/>
      <c r="L406" s="5"/>
      <c r="M406" s="5" t="s">
        <v>820</v>
      </c>
      <c r="N406" s="5" t="s">
        <v>232</v>
      </c>
      <c r="O406" s="33"/>
      <c r="P406" s="5"/>
      <c r="Q406" s="1" t="s">
        <v>251</v>
      </c>
      <c r="R406" s="31" t="s">
        <v>286</v>
      </c>
      <c r="S406" s="31"/>
      <c r="T406" s="31"/>
      <c r="U406" s="31" t="s">
        <v>3252</v>
      </c>
      <c r="V406" s="5"/>
      <c r="W406" s="40">
        <v>1</v>
      </c>
      <c r="X406" s="55" t="s">
        <v>821</v>
      </c>
      <c r="Y406" s="42" t="s">
        <v>3054</v>
      </c>
      <c r="Z406" s="35">
        <v>0</v>
      </c>
      <c r="AA406" s="31" t="s">
        <v>3253</v>
      </c>
      <c r="AB406" s="31" t="s">
        <v>3254</v>
      </c>
      <c r="AC406" s="5" t="s">
        <v>38</v>
      </c>
      <c r="AD406" s="31" t="s">
        <v>259</v>
      </c>
      <c r="AE406" s="36" t="s">
        <v>3189</v>
      </c>
      <c r="AF406" s="31" t="s">
        <v>292</v>
      </c>
      <c r="AG406" s="31" t="s">
        <v>71</v>
      </c>
      <c r="AH406" s="31" t="s">
        <v>27</v>
      </c>
      <c r="AI406" s="31" t="s">
        <v>3190</v>
      </c>
      <c r="AJ406" s="31"/>
      <c r="AK406" s="31" t="s">
        <v>1036</v>
      </c>
      <c r="AL406" s="5" t="s">
        <v>3191</v>
      </c>
      <c r="AM406" s="5"/>
      <c r="AN406" s="31"/>
      <c r="AO406" s="31"/>
      <c r="AP406" s="31"/>
      <c r="AQ406" s="31"/>
      <c r="AR406" s="31"/>
      <c r="AS406" s="30"/>
      <c r="AT406" s="37">
        <v>17</v>
      </c>
      <c r="AU406" s="37"/>
      <c r="AV406" s="37"/>
      <c r="AW406" s="37"/>
      <c r="AX406" s="37"/>
      <c r="AY406" s="38"/>
      <c r="AZ406" s="38"/>
      <c r="BA406" s="38"/>
      <c r="BB406" s="46"/>
      <c r="BC406" s="37"/>
      <c r="BD406" s="37"/>
      <c r="BE406" s="5"/>
      <c r="BF406" s="5"/>
      <c r="BG406" s="31" t="s">
        <v>3255</v>
      </c>
      <c r="BH406" s="31"/>
      <c r="BI406" s="31" t="s">
        <v>3255</v>
      </c>
      <c r="BJ406" s="48"/>
      <c r="BK406" s="49">
        <v>1</v>
      </c>
    </row>
    <row x14ac:dyDescent="0.25" r="407" customHeight="1" ht="31.5">
      <c r="A407" s="50">
        <v>30025</v>
      </c>
      <c r="B407" s="155" t="s">
        <v>3256</v>
      </c>
      <c r="C407" s="51" t="s">
        <v>3257</v>
      </c>
      <c r="D407" s="51" t="s">
        <v>3258</v>
      </c>
      <c r="E407" s="155"/>
      <c r="F407" s="155" t="s">
        <v>226</v>
      </c>
      <c r="G407" s="155" t="s">
        <v>975</v>
      </c>
      <c r="H407" s="51" t="s">
        <v>3259</v>
      </c>
      <c r="I407" s="32"/>
      <c r="J407" s="32"/>
      <c r="K407" s="5"/>
      <c r="L407" s="5"/>
      <c r="M407" s="5" t="s">
        <v>820</v>
      </c>
      <c r="N407" s="5" t="s">
        <v>232</v>
      </c>
      <c r="O407" s="33"/>
      <c r="P407" s="5"/>
      <c r="Q407" s="1" t="s">
        <v>251</v>
      </c>
      <c r="R407" s="31" t="s">
        <v>286</v>
      </c>
      <c r="S407" s="31"/>
      <c r="T407" s="31"/>
      <c r="U407" s="31" t="s">
        <v>3260</v>
      </c>
      <c r="V407" s="5"/>
      <c r="W407" s="40">
        <v>1</v>
      </c>
      <c r="X407" s="55" t="s">
        <v>821</v>
      </c>
      <c r="Y407" s="42" t="s">
        <v>256</v>
      </c>
      <c r="Z407" s="35">
        <v>0</v>
      </c>
      <c r="AA407" s="31" t="s">
        <v>3261</v>
      </c>
      <c r="AB407" s="31" t="s">
        <v>3262</v>
      </c>
      <c r="AC407" s="5" t="s">
        <v>38</v>
      </c>
      <c r="AD407" s="31" t="s">
        <v>259</v>
      </c>
      <c r="AE407" s="36" t="s">
        <v>3189</v>
      </c>
      <c r="AF407" s="31" t="s">
        <v>292</v>
      </c>
      <c r="AG407" s="31" t="s">
        <v>112</v>
      </c>
      <c r="AH407" s="31" t="s">
        <v>67</v>
      </c>
      <c r="AI407" s="31" t="s">
        <v>3190</v>
      </c>
      <c r="AJ407" s="31"/>
      <c r="AK407" s="31" t="s">
        <v>1036</v>
      </c>
      <c r="AL407" s="5" t="s">
        <v>3191</v>
      </c>
      <c r="AM407" s="5"/>
      <c r="AN407" s="31"/>
      <c r="AO407" s="31"/>
      <c r="AP407" s="31"/>
      <c r="AQ407" s="31"/>
      <c r="AR407" s="31"/>
      <c r="AS407" s="30"/>
      <c r="AT407" s="37">
        <v>21</v>
      </c>
      <c r="AU407" s="37"/>
      <c r="AV407" s="37"/>
      <c r="AW407" s="37"/>
      <c r="AX407" s="37"/>
      <c r="AY407" s="38"/>
      <c r="AZ407" s="38"/>
      <c r="BA407" s="38"/>
      <c r="BB407" s="46"/>
      <c r="BC407" s="37"/>
      <c r="BD407" s="37"/>
      <c r="BE407" s="5"/>
      <c r="BF407" s="5"/>
      <c r="BG407" s="31" t="s">
        <v>3263</v>
      </c>
      <c r="BH407" s="31"/>
      <c r="BI407" s="31" t="s">
        <v>3263</v>
      </c>
      <c r="BJ407" s="48"/>
      <c r="BK407" s="49">
        <v>1</v>
      </c>
    </row>
    <row x14ac:dyDescent="0.25" r="408" customHeight="1" ht="31.5">
      <c r="A408" s="50">
        <v>30030</v>
      </c>
      <c r="B408" s="155" t="s">
        <v>3264</v>
      </c>
      <c r="C408" s="51" t="s">
        <v>3265</v>
      </c>
      <c r="D408" s="51" t="s">
        <v>3266</v>
      </c>
      <c r="E408" s="155"/>
      <c r="F408" s="155" t="s">
        <v>226</v>
      </c>
      <c r="G408" s="155" t="s">
        <v>975</v>
      </c>
      <c r="H408" s="51" t="s">
        <v>3267</v>
      </c>
      <c r="I408" s="32"/>
      <c r="J408" s="32"/>
      <c r="K408" s="5"/>
      <c r="L408" s="5"/>
      <c r="M408" s="5" t="s">
        <v>820</v>
      </c>
      <c r="N408" s="5" t="s">
        <v>232</v>
      </c>
      <c r="O408" s="33"/>
      <c r="P408" s="5"/>
      <c r="Q408" s="1" t="s">
        <v>251</v>
      </c>
      <c r="R408" s="31" t="s">
        <v>286</v>
      </c>
      <c r="S408" s="31"/>
      <c r="T408" s="31"/>
      <c r="U408" s="31" t="s">
        <v>3268</v>
      </c>
      <c r="V408" s="5"/>
      <c r="W408" s="40">
        <v>1</v>
      </c>
      <c r="X408" s="55" t="s">
        <v>273</v>
      </c>
      <c r="Y408" s="42" t="s">
        <v>256</v>
      </c>
      <c r="Z408" s="35">
        <v>0</v>
      </c>
      <c r="AA408" s="31" t="s">
        <v>3269</v>
      </c>
      <c r="AB408" s="31" t="s">
        <v>3270</v>
      </c>
      <c r="AC408" s="5" t="s">
        <v>52</v>
      </c>
      <c r="AD408" s="31" t="s">
        <v>259</v>
      </c>
      <c r="AE408" s="36" t="s">
        <v>3271</v>
      </c>
      <c r="AF408" s="31" t="s">
        <v>292</v>
      </c>
      <c r="AG408" s="31" t="s">
        <v>57</v>
      </c>
      <c r="AH408" s="31" t="s">
        <v>67</v>
      </c>
      <c r="AI408" s="31" t="s">
        <v>3272</v>
      </c>
      <c r="AJ408" s="31"/>
      <c r="AK408" s="31" t="s">
        <v>1036</v>
      </c>
      <c r="AL408" s="5" t="s">
        <v>3191</v>
      </c>
      <c r="AM408" s="5"/>
      <c r="AN408" s="31"/>
      <c r="AO408" s="31"/>
      <c r="AP408" s="31"/>
      <c r="AQ408" s="31"/>
      <c r="AR408" s="31"/>
      <c r="AS408" s="30"/>
      <c r="AT408" s="37">
        <v>26</v>
      </c>
      <c r="AU408" s="37"/>
      <c r="AV408" s="37"/>
      <c r="AW408" s="37"/>
      <c r="AX408" s="37"/>
      <c r="AY408" s="38"/>
      <c r="AZ408" s="38"/>
      <c r="BA408" s="38"/>
      <c r="BB408" s="46"/>
      <c r="BC408" s="37"/>
      <c r="BD408" s="37"/>
      <c r="BE408" s="5"/>
      <c r="BF408" s="5"/>
      <c r="BG408" s="47" t="s">
        <v>3273</v>
      </c>
      <c r="BH408" s="47"/>
      <c r="BI408" s="31" t="s">
        <v>3273</v>
      </c>
      <c r="BJ408" s="48"/>
      <c r="BK408" s="49">
        <v>1</v>
      </c>
    </row>
    <row x14ac:dyDescent="0.25" r="409" customHeight="1" ht="31.5">
      <c r="A409" s="50">
        <v>30028</v>
      </c>
      <c r="B409" s="155" t="s">
        <v>3274</v>
      </c>
      <c r="C409" s="51" t="s">
        <v>3275</v>
      </c>
      <c r="D409" s="51" t="s">
        <v>3276</v>
      </c>
      <c r="E409" s="155"/>
      <c r="F409" s="155" t="s">
        <v>226</v>
      </c>
      <c r="G409" s="155" t="s">
        <v>975</v>
      </c>
      <c r="H409" s="51" t="s">
        <v>3277</v>
      </c>
      <c r="I409" s="32"/>
      <c r="J409" s="32"/>
      <c r="K409" s="5"/>
      <c r="L409" s="5"/>
      <c r="M409" s="5" t="s">
        <v>820</v>
      </c>
      <c r="N409" s="5" t="s">
        <v>232</v>
      </c>
      <c r="O409" s="33"/>
      <c r="P409" s="5"/>
      <c r="Q409" s="1" t="s">
        <v>251</v>
      </c>
      <c r="R409" s="31" t="s">
        <v>286</v>
      </c>
      <c r="S409" s="31"/>
      <c r="T409" s="31"/>
      <c r="U409" s="31" t="s">
        <v>3278</v>
      </c>
      <c r="V409" s="5"/>
      <c r="W409" s="40">
        <v>1</v>
      </c>
      <c r="X409" s="55" t="s">
        <v>273</v>
      </c>
      <c r="Y409" s="42" t="s">
        <v>256</v>
      </c>
      <c r="Z409" s="35">
        <v>0</v>
      </c>
      <c r="AA409" s="31" t="s">
        <v>3279</v>
      </c>
      <c r="AB409" s="31" t="s">
        <v>3280</v>
      </c>
      <c r="AC409" s="5" t="s">
        <v>52</v>
      </c>
      <c r="AD409" s="31" t="s">
        <v>259</v>
      </c>
      <c r="AE409" s="36" t="s">
        <v>3271</v>
      </c>
      <c r="AF409" s="31" t="s">
        <v>292</v>
      </c>
      <c r="AG409" s="31" t="s">
        <v>31</v>
      </c>
      <c r="AH409" s="31" t="s">
        <v>67</v>
      </c>
      <c r="AI409" s="31" t="s">
        <v>3272</v>
      </c>
      <c r="AJ409" s="31"/>
      <c r="AK409" s="31" t="s">
        <v>1036</v>
      </c>
      <c r="AL409" s="5" t="s">
        <v>3191</v>
      </c>
      <c r="AM409" s="5"/>
      <c r="AN409" s="31"/>
      <c r="AO409" s="31"/>
      <c r="AP409" s="31"/>
      <c r="AQ409" s="31"/>
      <c r="AR409" s="31"/>
      <c r="AS409" s="30"/>
      <c r="AT409" s="37">
        <v>24</v>
      </c>
      <c r="AU409" s="37"/>
      <c r="AV409" s="37"/>
      <c r="AW409" s="37"/>
      <c r="AX409" s="37"/>
      <c r="AY409" s="38"/>
      <c r="AZ409" s="38"/>
      <c r="BA409" s="38"/>
      <c r="BB409" s="46"/>
      <c r="BC409" s="37"/>
      <c r="BD409" s="37"/>
      <c r="BE409" s="5"/>
      <c r="BF409" s="5"/>
      <c r="BG409" s="47" t="s">
        <v>3281</v>
      </c>
      <c r="BH409" s="47"/>
      <c r="BI409" s="31" t="s">
        <v>3281</v>
      </c>
      <c r="BJ409" s="48"/>
      <c r="BK409" s="49">
        <v>1</v>
      </c>
    </row>
    <row x14ac:dyDescent="0.25" r="410" customHeight="1" ht="31.5">
      <c r="A410" s="50">
        <v>30034</v>
      </c>
      <c r="B410" s="155" t="s">
        <v>3282</v>
      </c>
      <c r="C410" s="51" t="s">
        <v>3283</v>
      </c>
      <c r="D410" s="51" t="s">
        <v>3284</v>
      </c>
      <c r="E410" s="155"/>
      <c r="F410" s="155" t="s">
        <v>226</v>
      </c>
      <c r="G410" s="155" t="s">
        <v>975</v>
      </c>
      <c r="H410" s="51" t="s">
        <v>3285</v>
      </c>
      <c r="I410" s="32"/>
      <c r="J410" s="32"/>
      <c r="K410" s="5"/>
      <c r="L410" s="5"/>
      <c r="M410" s="5" t="s">
        <v>820</v>
      </c>
      <c r="N410" s="5" t="s">
        <v>232</v>
      </c>
      <c r="O410" s="33"/>
      <c r="P410" s="5"/>
      <c r="Q410" s="1" t="s">
        <v>251</v>
      </c>
      <c r="R410" s="31" t="s">
        <v>286</v>
      </c>
      <c r="S410" s="31"/>
      <c r="T410" s="31"/>
      <c r="U410" s="31" t="s">
        <v>3286</v>
      </c>
      <c r="V410" s="5"/>
      <c r="W410" s="40">
        <v>1</v>
      </c>
      <c r="X410" s="55" t="s">
        <v>273</v>
      </c>
      <c r="Y410" s="42" t="s">
        <v>256</v>
      </c>
      <c r="Z410" s="35">
        <v>0</v>
      </c>
      <c r="AA410" s="31" t="s">
        <v>3287</v>
      </c>
      <c r="AB410" s="31" t="s">
        <v>3288</v>
      </c>
      <c r="AC410" s="5" t="s">
        <v>52</v>
      </c>
      <c r="AD410" s="31" t="s">
        <v>259</v>
      </c>
      <c r="AE410" s="36" t="s">
        <v>3271</v>
      </c>
      <c r="AF410" s="31" t="s">
        <v>292</v>
      </c>
      <c r="AG410" s="31" t="s">
        <v>81</v>
      </c>
      <c r="AH410" s="31" t="s">
        <v>67</v>
      </c>
      <c r="AI410" s="31" t="s">
        <v>3272</v>
      </c>
      <c r="AJ410" s="31"/>
      <c r="AK410" s="31" t="s">
        <v>1036</v>
      </c>
      <c r="AL410" s="5" t="s">
        <v>3191</v>
      </c>
      <c r="AM410" s="5"/>
      <c r="AN410" s="31"/>
      <c r="AO410" s="31"/>
      <c r="AP410" s="31"/>
      <c r="AQ410" s="31"/>
      <c r="AR410" s="31"/>
      <c r="AS410" s="30"/>
      <c r="AT410" s="37">
        <v>28</v>
      </c>
      <c r="AU410" s="37"/>
      <c r="AV410" s="37"/>
      <c r="AW410" s="37"/>
      <c r="AX410" s="37"/>
      <c r="AY410" s="38"/>
      <c r="AZ410" s="38"/>
      <c r="BA410" s="38"/>
      <c r="BB410" s="46"/>
      <c r="BC410" s="37"/>
      <c r="BD410" s="37"/>
      <c r="BE410" s="5"/>
      <c r="BF410" s="5"/>
      <c r="BG410" s="47" t="s">
        <v>3289</v>
      </c>
      <c r="BH410" s="47"/>
      <c r="BI410" s="31" t="s">
        <v>3289</v>
      </c>
      <c r="BJ410" s="48"/>
      <c r="BK410" s="49">
        <v>1</v>
      </c>
    </row>
    <row x14ac:dyDescent="0.25" r="411" customHeight="1" ht="31.5">
      <c r="A411" s="50">
        <v>30036</v>
      </c>
      <c r="B411" s="155" t="s">
        <v>3290</v>
      </c>
      <c r="C411" s="51" t="s">
        <v>3291</v>
      </c>
      <c r="D411" s="51" t="s">
        <v>3292</v>
      </c>
      <c r="E411" s="155"/>
      <c r="F411" s="155" t="s">
        <v>226</v>
      </c>
      <c r="G411" s="155" t="s">
        <v>975</v>
      </c>
      <c r="H411" s="51" t="s">
        <v>3293</v>
      </c>
      <c r="I411" s="32"/>
      <c r="J411" s="32"/>
      <c r="K411" s="5"/>
      <c r="L411" s="5"/>
      <c r="M411" s="5" t="s">
        <v>820</v>
      </c>
      <c r="N411" s="5" t="s">
        <v>232</v>
      </c>
      <c r="O411" s="33"/>
      <c r="P411" s="5"/>
      <c r="Q411" s="1" t="s">
        <v>251</v>
      </c>
      <c r="R411" s="31" t="s">
        <v>286</v>
      </c>
      <c r="S411" s="31"/>
      <c r="T411" s="31"/>
      <c r="U411" s="31" t="s">
        <v>3294</v>
      </c>
      <c r="V411" s="5"/>
      <c r="W411" s="40">
        <v>1</v>
      </c>
      <c r="X411" s="55" t="s">
        <v>273</v>
      </c>
      <c r="Y411" s="42" t="s">
        <v>256</v>
      </c>
      <c r="Z411" s="35">
        <v>0</v>
      </c>
      <c r="AA411" s="31" t="s">
        <v>3295</v>
      </c>
      <c r="AB411" s="31" t="s">
        <v>3296</v>
      </c>
      <c r="AC411" s="5" t="s">
        <v>52</v>
      </c>
      <c r="AD411" s="31" t="s">
        <v>259</v>
      </c>
      <c r="AE411" s="36" t="s">
        <v>3271</v>
      </c>
      <c r="AF411" s="31" t="s">
        <v>292</v>
      </c>
      <c r="AG411" s="31" t="s">
        <v>101</v>
      </c>
      <c r="AH411" s="31" t="s">
        <v>67</v>
      </c>
      <c r="AI411" s="31" t="s">
        <v>3272</v>
      </c>
      <c r="AJ411" s="31"/>
      <c r="AK411" s="31" t="s">
        <v>1036</v>
      </c>
      <c r="AL411" s="5" t="s">
        <v>3191</v>
      </c>
      <c r="AM411" s="5"/>
      <c r="AN411" s="31"/>
      <c r="AO411" s="31"/>
      <c r="AP411" s="31"/>
      <c r="AQ411" s="31"/>
      <c r="AR411" s="31"/>
      <c r="AS411" s="30"/>
      <c r="AT411" s="37">
        <v>30</v>
      </c>
      <c r="AU411" s="37"/>
      <c r="AV411" s="37"/>
      <c r="AW411" s="37"/>
      <c r="AX411" s="37"/>
      <c r="AY411" s="38"/>
      <c r="AZ411" s="38"/>
      <c r="BA411" s="38"/>
      <c r="BB411" s="119"/>
      <c r="BC411" s="38"/>
      <c r="BD411" s="37"/>
      <c r="BE411" s="5"/>
      <c r="BF411" s="5"/>
      <c r="BG411" s="47" t="s">
        <v>3297</v>
      </c>
      <c r="BH411" s="47"/>
      <c r="BI411" s="31" t="s">
        <v>3297</v>
      </c>
      <c r="BJ411" s="48"/>
      <c r="BK411" s="49">
        <v>1</v>
      </c>
    </row>
    <row x14ac:dyDescent="0.25" r="412" customHeight="1" ht="31.5">
      <c r="A412" s="50" t="s">
        <v>3298</v>
      </c>
      <c r="B412" s="155" t="s">
        <v>3299</v>
      </c>
      <c r="C412" s="51" t="s">
        <v>3300</v>
      </c>
      <c r="D412" s="51" t="s">
        <v>3301</v>
      </c>
      <c r="E412" s="155"/>
      <c r="F412" s="155" t="s">
        <v>226</v>
      </c>
      <c r="G412" s="155" t="s">
        <v>975</v>
      </c>
      <c r="H412" s="51" t="s">
        <v>3302</v>
      </c>
      <c r="I412" s="32"/>
      <c r="J412" s="32"/>
      <c r="K412" s="5"/>
      <c r="L412" s="5"/>
      <c r="M412" s="5" t="s">
        <v>820</v>
      </c>
      <c r="N412" s="5" t="s">
        <v>232</v>
      </c>
      <c r="O412" s="33"/>
      <c r="P412" s="5"/>
      <c r="Q412" s="1" t="s">
        <v>251</v>
      </c>
      <c r="R412" s="31" t="s">
        <v>286</v>
      </c>
      <c r="S412" s="31"/>
      <c r="T412" s="31"/>
      <c r="U412" s="31" t="s">
        <v>3303</v>
      </c>
      <c r="V412" s="5"/>
      <c r="W412" s="40">
        <v>1</v>
      </c>
      <c r="X412" s="55" t="s">
        <v>273</v>
      </c>
      <c r="Y412" s="42" t="s">
        <v>256</v>
      </c>
      <c r="Z412" s="35">
        <v>0</v>
      </c>
      <c r="AA412" s="31" t="s">
        <v>3304</v>
      </c>
      <c r="AB412" s="31" t="s">
        <v>3305</v>
      </c>
      <c r="AC412" s="5" t="s">
        <v>52</v>
      </c>
      <c r="AD412" s="31" t="s">
        <v>259</v>
      </c>
      <c r="AE412" s="36" t="s">
        <v>3271</v>
      </c>
      <c r="AF412" s="31" t="s">
        <v>292</v>
      </c>
      <c r="AG412" s="31" t="s">
        <v>118</v>
      </c>
      <c r="AH412" s="31" t="s">
        <v>67</v>
      </c>
      <c r="AI412" s="31" t="s">
        <v>3272</v>
      </c>
      <c r="AJ412" s="31"/>
      <c r="AK412" s="31" t="s">
        <v>1036</v>
      </c>
      <c r="AL412" s="5" t="s">
        <v>3191</v>
      </c>
      <c r="AM412" s="5"/>
      <c r="AN412" s="31"/>
      <c r="AO412" s="31"/>
      <c r="AP412" s="31"/>
      <c r="AQ412" s="31"/>
      <c r="AR412" s="31"/>
      <c r="AS412" s="30"/>
      <c r="AT412" s="37">
        <v>33</v>
      </c>
      <c r="AU412" s="37"/>
      <c r="AV412" s="37"/>
      <c r="AW412" s="37"/>
      <c r="AX412" s="37"/>
      <c r="AY412" s="38"/>
      <c r="AZ412" s="38"/>
      <c r="BA412" s="38"/>
      <c r="BB412" s="46"/>
      <c r="BC412" s="37"/>
      <c r="BD412" s="37"/>
      <c r="BE412" s="5"/>
      <c r="BF412" s="5"/>
      <c r="BG412" s="47" t="s">
        <v>3306</v>
      </c>
      <c r="BH412" s="47"/>
      <c r="BI412" s="31" t="s">
        <v>3306</v>
      </c>
      <c r="BJ412" s="48"/>
      <c r="BK412" s="49">
        <v>1</v>
      </c>
    </row>
    <row x14ac:dyDescent="0.25" r="413" customHeight="1" ht="31.5">
      <c r="A413" s="50">
        <v>30032</v>
      </c>
      <c r="B413" s="155" t="s">
        <v>3307</v>
      </c>
      <c r="C413" s="51" t="s">
        <v>3308</v>
      </c>
      <c r="D413" s="51" t="s">
        <v>3309</v>
      </c>
      <c r="E413" s="155"/>
      <c r="F413" s="155" t="s">
        <v>226</v>
      </c>
      <c r="G413" s="155" t="s">
        <v>975</v>
      </c>
      <c r="H413" s="51" t="s">
        <v>3310</v>
      </c>
      <c r="I413" s="32"/>
      <c r="J413" s="32"/>
      <c r="K413" s="5"/>
      <c r="L413" s="5"/>
      <c r="M413" s="5" t="s">
        <v>820</v>
      </c>
      <c r="N413" s="5" t="s">
        <v>232</v>
      </c>
      <c r="O413" s="33"/>
      <c r="P413" s="5"/>
      <c r="Q413" s="1" t="s">
        <v>251</v>
      </c>
      <c r="R413" s="31" t="s">
        <v>286</v>
      </c>
      <c r="S413" s="31"/>
      <c r="T413" s="31"/>
      <c r="U413" s="31" t="s">
        <v>3311</v>
      </c>
      <c r="V413" s="5"/>
      <c r="W413" s="40">
        <v>1</v>
      </c>
      <c r="X413" s="55" t="s">
        <v>273</v>
      </c>
      <c r="Y413" s="42" t="s">
        <v>256</v>
      </c>
      <c r="Z413" s="35">
        <v>0</v>
      </c>
      <c r="AA413" s="31" t="s">
        <v>3312</v>
      </c>
      <c r="AB413" s="31" t="s">
        <v>3313</v>
      </c>
      <c r="AC413" s="5" t="s">
        <v>52</v>
      </c>
      <c r="AD413" s="31" t="s">
        <v>259</v>
      </c>
      <c r="AE413" s="36" t="s">
        <v>3271</v>
      </c>
      <c r="AF413" s="31" t="s">
        <v>292</v>
      </c>
      <c r="AG413" s="31" t="s">
        <v>127</v>
      </c>
      <c r="AH413" s="31" t="s">
        <v>67</v>
      </c>
      <c r="AI413" s="31" t="s">
        <v>3272</v>
      </c>
      <c r="AJ413" s="31"/>
      <c r="AK413" s="31" t="s">
        <v>1036</v>
      </c>
      <c r="AL413" s="5" t="s">
        <v>3191</v>
      </c>
      <c r="AM413" s="5"/>
      <c r="AN413" s="31"/>
      <c r="AO413" s="31"/>
      <c r="AP413" s="31"/>
      <c r="AQ413" s="31"/>
      <c r="AR413" s="31"/>
      <c r="AS413" s="30"/>
      <c r="AT413" s="37">
        <v>38</v>
      </c>
      <c r="AU413" s="37"/>
      <c r="AV413" s="37"/>
      <c r="AW413" s="37"/>
      <c r="AX413" s="37"/>
      <c r="AY413" s="38"/>
      <c r="AZ413" s="38"/>
      <c r="BA413" s="38"/>
      <c r="BB413" s="46"/>
      <c r="BC413" s="37"/>
      <c r="BD413" s="37"/>
      <c r="BE413" s="5"/>
      <c r="BF413" s="5"/>
      <c r="BG413" s="47" t="s">
        <v>3314</v>
      </c>
      <c r="BH413" s="47"/>
      <c r="BI413" s="31" t="s">
        <v>3314</v>
      </c>
      <c r="BJ413" s="48"/>
      <c r="BK413" s="49">
        <v>1</v>
      </c>
    </row>
    <row x14ac:dyDescent="0.25" r="414" customHeight="1" ht="31.5">
      <c r="A414" s="50"/>
      <c r="B414" s="155" t="s">
        <v>3315</v>
      </c>
      <c r="C414" s="51" t="s">
        <v>3316</v>
      </c>
      <c r="D414" s="51" t="s">
        <v>3317</v>
      </c>
      <c r="E414" s="155"/>
      <c r="F414" s="155" t="s">
        <v>226</v>
      </c>
      <c r="G414" s="155" t="s">
        <v>975</v>
      </c>
      <c r="H414" s="51" t="s">
        <v>3318</v>
      </c>
      <c r="I414" s="32"/>
      <c r="J414" s="32"/>
      <c r="K414" s="5"/>
      <c r="L414" s="5"/>
      <c r="M414" s="5" t="s">
        <v>820</v>
      </c>
      <c r="N414" s="5" t="s">
        <v>232</v>
      </c>
      <c r="O414" s="33"/>
      <c r="P414" s="5"/>
      <c r="Q414" s="1" t="s">
        <v>251</v>
      </c>
      <c r="R414" s="31" t="s">
        <v>286</v>
      </c>
      <c r="S414" s="31"/>
      <c r="T414" s="31"/>
      <c r="U414" s="31" t="s">
        <v>3319</v>
      </c>
      <c r="V414" s="5"/>
      <c r="W414" s="40">
        <v>1</v>
      </c>
      <c r="X414" s="55" t="s">
        <v>273</v>
      </c>
      <c r="Y414" s="42" t="s">
        <v>256</v>
      </c>
      <c r="Z414" s="35">
        <v>0</v>
      </c>
      <c r="AA414" s="31" t="s">
        <v>3320</v>
      </c>
      <c r="AB414" s="31" t="s">
        <v>3321</v>
      </c>
      <c r="AC414" s="5" t="s">
        <v>52</v>
      </c>
      <c r="AD414" s="31" t="s">
        <v>259</v>
      </c>
      <c r="AE414" s="36" t="s">
        <v>3271</v>
      </c>
      <c r="AF414" s="31" t="s">
        <v>292</v>
      </c>
      <c r="AG414" s="31" t="s">
        <v>130</v>
      </c>
      <c r="AH414" s="31" t="s">
        <v>67</v>
      </c>
      <c r="AI414" s="31" t="s">
        <v>3272</v>
      </c>
      <c r="AJ414" s="31"/>
      <c r="AK414" s="31" t="s">
        <v>1036</v>
      </c>
      <c r="AL414" s="5" t="s">
        <v>3191</v>
      </c>
      <c r="AM414" s="5"/>
      <c r="AN414" s="31"/>
      <c r="AO414" s="31"/>
      <c r="AP414" s="31"/>
      <c r="AQ414" s="31"/>
      <c r="AR414" s="31"/>
      <c r="AS414" s="30"/>
      <c r="AT414" s="37">
        <v>39</v>
      </c>
      <c r="AU414" s="37"/>
      <c r="AV414" s="37"/>
      <c r="AW414" s="37"/>
      <c r="AX414" s="37"/>
      <c r="AY414" s="38"/>
      <c r="AZ414" s="38"/>
      <c r="BA414" s="38"/>
      <c r="BB414" s="46"/>
      <c r="BC414" s="37"/>
      <c r="BD414" s="37"/>
      <c r="BE414" s="5"/>
      <c r="BF414" s="5"/>
      <c r="BG414" s="47" t="s">
        <v>3322</v>
      </c>
      <c r="BH414" s="47"/>
      <c r="BI414" s="31" t="s">
        <v>3322</v>
      </c>
      <c r="BJ414" s="48"/>
      <c r="BK414" s="49">
        <v>1</v>
      </c>
    </row>
    <row x14ac:dyDescent="0.25" r="415" customHeight="1" ht="31.5">
      <c r="A415" s="50">
        <v>30029</v>
      </c>
      <c r="B415" s="155" t="s">
        <v>3323</v>
      </c>
      <c r="C415" s="51" t="s">
        <v>3324</v>
      </c>
      <c r="D415" s="51" t="s">
        <v>3325</v>
      </c>
      <c r="E415" s="155"/>
      <c r="F415" s="155" t="s">
        <v>577</v>
      </c>
      <c r="G415" s="155" t="s">
        <v>975</v>
      </c>
      <c r="H415" s="51" t="s">
        <v>3326</v>
      </c>
      <c r="I415" s="32"/>
      <c r="J415" s="32"/>
      <c r="K415" s="5"/>
      <c r="L415" s="5"/>
      <c r="M415" s="5" t="s">
        <v>820</v>
      </c>
      <c r="N415" s="5" t="s">
        <v>232</v>
      </c>
      <c r="O415" s="33"/>
      <c r="P415" s="5"/>
      <c r="Q415" s="1" t="s">
        <v>251</v>
      </c>
      <c r="R415" s="31" t="s">
        <v>286</v>
      </c>
      <c r="S415" s="31"/>
      <c r="T415" s="31" t="s">
        <v>3212</v>
      </c>
      <c r="U415" s="31" t="s">
        <v>3327</v>
      </c>
      <c r="V415" s="5"/>
      <c r="W415" s="40">
        <v>1</v>
      </c>
      <c r="X415" s="55" t="s">
        <v>273</v>
      </c>
      <c r="Y415" s="42" t="s">
        <v>1121</v>
      </c>
      <c r="Z415" s="35">
        <v>0</v>
      </c>
      <c r="AA415" s="31" t="s">
        <v>3328</v>
      </c>
      <c r="AB415" s="31" t="s">
        <v>3329</v>
      </c>
      <c r="AC415" s="5" t="s">
        <v>38</v>
      </c>
      <c r="AD415" s="31" t="s">
        <v>259</v>
      </c>
      <c r="AE415" s="36" t="s">
        <v>3271</v>
      </c>
      <c r="AF415" s="31" t="s">
        <v>292</v>
      </c>
      <c r="AG415" s="31" t="s">
        <v>45</v>
      </c>
      <c r="AH415" s="31" t="s">
        <v>41</v>
      </c>
      <c r="AI415" s="31" t="s">
        <v>3272</v>
      </c>
      <c r="AJ415" s="31"/>
      <c r="AK415" s="31" t="s">
        <v>1036</v>
      </c>
      <c r="AL415" s="5" t="s">
        <v>3191</v>
      </c>
      <c r="AM415" s="5"/>
      <c r="AN415" s="31"/>
      <c r="AO415" s="31"/>
      <c r="AP415" s="31"/>
      <c r="AQ415" s="31"/>
      <c r="AR415" s="31"/>
      <c r="AS415" s="30"/>
      <c r="AT415" s="37">
        <v>25</v>
      </c>
      <c r="AU415" s="37"/>
      <c r="AV415" s="37"/>
      <c r="AW415" s="37"/>
      <c r="AX415" s="37"/>
      <c r="AY415" s="38"/>
      <c r="AZ415" s="38"/>
      <c r="BA415" s="38"/>
      <c r="BB415" s="46"/>
      <c r="BC415" s="37"/>
      <c r="BD415" s="37"/>
      <c r="BE415" s="5"/>
      <c r="BF415" s="5"/>
      <c r="BG415" s="47" t="s">
        <v>3330</v>
      </c>
      <c r="BH415" s="47"/>
      <c r="BI415" s="31" t="s">
        <v>3330</v>
      </c>
      <c r="BJ415" s="48"/>
      <c r="BK415" s="49">
        <v>1</v>
      </c>
    </row>
    <row x14ac:dyDescent="0.25" r="416" customHeight="1" ht="31.5">
      <c r="A416" s="50">
        <v>30027</v>
      </c>
      <c r="B416" s="155" t="s">
        <v>3331</v>
      </c>
      <c r="C416" s="51" t="s">
        <v>3332</v>
      </c>
      <c r="D416" s="51" t="s">
        <v>3333</v>
      </c>
      <c r="E416" s="155"/>
      <c r="F416" s="155" t="s">
        <v>577</v>
      </c>
      <c r="G416" s="155" t="s">
        <v>975</v>
      </c>
      <c r="H416" s="51" t="s">
        <v>3334</v>
      </c>
      <c r="I416" s="32"/>
      <c r="J416" s="32"/>
      <c r="K416" s="5"/>
      <c r="L416" s="5"/>
      <c r="M416" s="5" t="s">
        <v>820</v>
      </c>
      <c r="N416" s="5" t="s">
        <v>232</v>
      </c>
      <c r="O416" s="33"/>
      <c r="P416" s="5"/>
      <c r="Q416" s="1" t="s">
        <v>251</v>
      </c>
      <c r="R416" s="31" t="s">
        <v>286</v>
      </c>
      <c r="S416" s="31"/>
      <c r="T416" s="31"/>
      <c r="U416" s="31" t="s">
        <v>3335</v>
      </c>
      <c r="V416" s="5"/>
      <c r="W416" s="40">
        <v>1</v>
      </c>
      <c r="X416" s="55" t="s">
        <v>273</v>
      </c>
      <c r="Y416" s="42" t="s">
        <v>758</v>
      </c>
      <c r="Z416" s="35">
        <v>0</v>
      </c>
      <c r="AA416" s="31" t="s">
        <v>3336</v>
      </c>
      <c r="AB416" s="31" t="s">
        <v>3337</v>
      </c>
      <c r="AC416" s="5" t="s">
        <v>38</v>
      </c>
      <c r="AD416" s="31" t="s">
        <v>259</v>
      </c>
      <c r="AE416" s="36" t="s">
        <v>3271</v>
      </c>
      <c r="AF416" s="31" t="s">
        <v>292</v>
      </c>
      <c r="AG416" s="31" t="s">
        <v>17</v>
      </c>
      <c r="AH416" s="31" t="s">
        <v>27</v>
      </c>
      <c r="AI416" s="31" t="s">
        <v>3272</v>
      </c>
      <c r="AJ416" s="31"/>
      <c r="AK416" s="31" t="s">
        <v>1036</v>
      </c>
      <c r="AL416" s="5" t="s">
        <v>3191</v>
      </c>
      <c r="AM416" s="5"/>
      <c r="AN416" s="31"/>
      <c r="AO416" s="31"/>
      <c r="AP416" s="31"/>
      <c r="AQ416" s="31"/>
      <c r="AR416" s="31"/>
      <c r="AS416" s="30"/>
      <c r="AT416" s="37">
        <v>23</v>
      </c>
      <c r="AU416" s="37"/>
      <c r="AV416" s="37"/>
      <c r="AW416" s="37"/>
      <c r="AX416" s="37"/>
      <c r="AY416" s="38"/>
      <c r="AZ416" s="38"/>
      <c r="BA416" s="38"/>
      <c r="BB416" s="46"/>
      <c r="BC416" s="37"/>
      <c r="BD416" s="37"/>
      <c r="BE416" s="5"/>
      <c r="BF416" s="5"/>
      <c r="BG416" s="47" t="s">
        <v>3338</v>
      </c>
      <c r="BH416" s="47"/>
      <c r="BI416" s="31" t="s">
        <v>3338</v>
      </c>
      <c r="BJ416" s="48"/>
      <c r="BK416" s="49">
        <v>1</v>
      </c>
    </row>
    <row x14ac:dyDescent="0.25" r="417" customHeight="1" ht="31.5">
      <c r="A417" s="50">
        <v>30033</v>
      </c>
      <c r="B417" s="155" t="s">
        <v>3339</v>
      </c>
      <c r="C417" s="51" t="s">
        <v>3340</v>
      </c>
      <c r="D417" s="51" t="s">
        <v>3341</v>
      </c>
      <c r="E417" s="155"/>
      <c r="F417" s="155" t="s">
        <v>577</v>
      </c>
      <c r="G417" s="155" t="s">
        <v>975</v>
      </c>
      <c r="H417" s="51" t="s">
        <v>3342</v>
      </c>
      <c r="I417" s="32"/>
      <c r="J417" s="32"/>
      <c r="K417" s="5"/>
      <c r="L417" s="5"/>
      <c r="M417" s="5" t="s">
        <v>820</v>
      </c>
      <c r="N417" s="5" t="s">
        <v>232</v>
      </c>
      <c r="O417" s="33"/>
      <c r="P417" s="5"/>
      <c r="Q417" s="1" t="s">
        <v>251</v>
      </c>
      <c r="R417" s="31" t="s">
        <v>286</v>
      </c>
      <c r="S417" s="31"/>
      <c r="T417" s="31"/>
      <c r="U417" s="31" t="s">
        <v>3343</v>
      </c>
      <c r="V417" s="5"/>
      <c r="W417" s="40">
        <v>1</v>
      </c>
      <c r="X417" s="55" t="s">
        <v>273</v>
      </c>
      <c r="Y417" s="42" t="s">
        <v>979</v>
      </c>
      <c r="Z417" s="35">
        <v>0</v>
      </c>
      <c r="AA417" s="31" t="s">
        <v>3344</v>
      </c>
      <c r="AB417" s="31" t="s">
        <v>3345</v>
      </c>
      <c r="AC417" s="5" t="s">
        <v>38</v>
      </c>
      <c r="AD417" s="31" t="s">
        <v>259</v>
      </c>
      <c r="AE417" s="36" t="s">
        <v>3271</v>
      </c>
      <c r="AF417" s="31" t="s">
        <v>292</v>
      </c>
      <c r="AG417" s="31" t="s">
        <v>69</v>
      </c>
      <c r="AH417" s="31" t="s">
        <v>27</v>
      </c>
      <c r="AI417" s="31" t="s">
        <v>3272</v>
      </c>
      <c r="AJ417" s="31"/>
      <c r="AK417" s="31" t="s">
        <v>1036</v>
      </c>
      <c r="AL417" s="5" t="s">
        <v>3191</v>
      </c>
      <c r="AM417" s="5"/>
      <c r="AN417" s="31"/>
      <c r="AO417" s="31"/>
      <c r="AP417" s="31"/>
      <c r="AQ417" s="31"/>
      <c r="AR417" s="31"/>
      <c r="AS417" s="30"/>
      <c r="AT417" s="37">
        <v>27</v>
      </c>
      <c r="AU417" s="37"/>
      <c r="AV417" s="37"/>
      <c r="AW417" s="37"/>
      <c r="AX417" s="37"/>
      <c r="AY417" s="38"/>
      <c r="AZ417" s="38"/>
      <c r="BA417" s="38"/>
      <c r="BB417" s="46"/>
      <c r="BC417" s="37"/>
      <c r="BD417" s="37"/>
      <c r="BE417" s="5"/>
      <c r="BF417" s="5"/>
      <c r="BG417" s="47" t="s">
        <v>3346</v>
      </c>
      <c r="BH417" s="47"/>
      <c r="BI417" s="31" t="s">
        <v>3346</v>
      </c>
      <c r="BJ417" s="48"/>
      <c r="BK417" s="49">
        <v>1</v>
      </c>
    </row>
    <row x14ac:dyDescent="0.25" r="418" customHeight="1" ht="31.5">
      <c r="A418" s="50">
        <v>30035</v>
      </c>
      <c r="B418" s="155" t="s">
        <v>3347</v>
      </c>
      <c r="C418" s="51" t="s">
        <v>3348</v>
      </c>
      <c r="D418" s="51" t="s">
        <v>3349</v>
      </c>
      <c r="E418" s="155"/>
      <c r="F418" s="155" t="s">
        <v>577</v>
      </c>
      <c r="G418" s="155" t="s">
        <v>975</v>
      </c>
      <c r="H418" s="51" t="s">
        <v>3350</v>
      </c>
      <c r="I418" s="32"/>
      <c r="J418" s="32"/>
      <c r="K418" s="5"/>
      <c r="L418" s="5"/>
      <c r="M418" s="5" t="s">
        <v>820</v>
      </c>
      <c r="N418" s="5" t="s">
        <v>232</v>
      </c>
      <c r="O418" s="33"/>
      <c r="P418" s="5"/>
      <c r="Q418" s="1" t="s">
        <v>251</v>
      </c>
      <c r="R418" s="31" t="s">
        <v>286</v>
      </c>
      <c r="S418" s="31"/>
      <c r="T418" s="31"/>
      <c r="U418" s="31" t="s">
        <v>3351</v>
      </c>
      <c r="V418" s="5"/>
      <c r="W418" s="40">
        <v>1</v>
      </c>
      <c r="X418" s="55" t="s">
        <v>273</v>
      </c>
      <c r="Y418" s="42" t="s">
        <v>979</v>
      </c>
      <c r="Z418" s="35">
        <v>0</v>
      </c>
      <c r="AA418" s="31" t="s">
        <v>3352</v>
      </c>
      <c r="AB418" s="31" t="s">
        <v>3353</v>
      </c>
      <c r="AC418" s="5" t="s">
        <v>38</v>
      </c>
      <c r="AD418" s="31" t="s">
        <v>259</v>
      </c>
      <c r="AE418" s="36" t="s">
        <v>3271</v>
      </c>
      <c r="AF418" s="31" t="s">
        <v>292</v>
      </c>
      <c r="AG418" s="31" t="s">
        <v>92</v>
      </c>
      <c r="AH418" s="31" t="s">
        <v>27</v>
      </c>
      <c r="AI418" s="31" t="s">
        <v>3272</v>
      </c>
      <c r="AJ418" s="31"/>
      <c r="AK418" s="31" t="s">
        <v>1036</v>
      </c>
      <c r="AL418" s="5" t="s">
        <v>3191</v>
      </c>
      <c r="AM418" s="5"/>
      <c r="AN418" s="31"/>
      <c r="AO418" s="31"/>
      <c r="AP418" s="31"/>
      <c r="AQ418" s="31"/>
      <c r="AR418" s="31"/>
      <c r="AS418" s="30"/>
      <c r="AT418" s="37">
        <v>29</v>
      </c>
      <c r="AU418" s="37"/>
      <c r="AV418" s="37"/>
      <c r="AW418" s="37"/>
      <c r="AX418" s="37"/>
      <c r="AY418" s="38"/>
      <c r="AZ418" s="38"/>
      <c r="BA418" s="38"/>
      <c r="BB418" s="46"/>
      <c r="BC418" s="37"/>
      <c r="BD418" s="37"/>
      <c r="BE418" s="5"/>
      <c r="BF418" s="5"/>
      <c r="BG418" s="47" t="s">
        <v>3354</v>
      </c>
      <c r="BH418" s="47"/>
      <c r="BI418" s="31" t="s">
        <v>3354</v>
      </c>
      <c r="BJ418" s="48"/>
      <c r="BK418" s="49">
        <v>1</v>
      </c>
    </row>
    <row x14ac:dyDescent="0.25" r="419" customHeight="1" ht="31.5">
      <c r="A419" s="50" t="s">
        <v>3355</v>
      </c>
      <c r="B419" s="155" t="s">
        <v>3356</v>
      </c>
      <c r="C419" s="51" t="s">
        <v>3357</v>
      </c>
      <c r="D419" s="51" t="s">
        <v>3358</v>
      </c>
      <c r="E419" s="155"/>
      <c r="F419" s="155" t="s">
        <v>577</v>
      </c>
      <c r="G419" s="155" t="s">
        <v>975</v>
      </c>
      <c r="H419" s="51" t="s">
        <v>3359</v>
      </c>
      <c r="I419" s="32"/>
      <c r="J419" s="32"/>
      <c r="K419" s="5"/>
      <c r="L419" s="5"/>
      <c r="M419" s="5" t="s">
        <v>820</v>
      </c>
      <c r="N419" s="5" t="s">
        <v>232</v>
      </c>
      <c r="O419" s="33"/>
      <c r="P419" s="5"/>
      <c r="Q419" s="1" t="s">
        <v>251</v>
      </c>
      <c r="R419" s="31" t="s">
        <v>286</v>
      </c>
      <c r="S419" s="31"/>
      <c r="T419" s="31"/>
      <c r="U419" s="31" t="s">
        <v>3360</v>
      </c>
      <c r="V419" s="5"/>
      <c r="W419" s="40">
        <v>1</v>
      </c>
      <c r="X419" s="55" t="s">
        <v>273</v>
      </c>
      <c r="Y419" s="42" t="s">
        <v>979</v>
      </c>
      <c r="Z419" s="35">
        <v>0</v>
      </c>
      <c r="AA419" s="31" t="s">
        <v>3361</v>
      </c>
      <c r="AB419" s="31" t="s">
        <v>3362</v>
      </c>
      <c r="AC419" s="5" t="s">
        <v>38</v>
      </c>
      <c r="AD419" s="31" t="s">
        <v>259</v>
      </c>
      <c r="AE419" s="36" t="s">
        <v>3271</v>
      </c>
      <c r="AF419" s="31" t="s">
        <v>292</v>
      </c>
      <c r="AG419" s="31" t="s">
        <v>110</v>
      </c>
      <c r="AH419" s="31" t="s">
        <v>27</v>
      </c>
      <c r="AI419" s="31" t="s">
        <v>3272</v>
      </c>
      <c r="AJ419" s="31"/>
      <c r="AK419" s="31" t="s">
        <v>1036</v>
      </c>
      <c r="AL419" s="5" t="s">
        <v>3191</v>
      </c>
      <c r="AM419" s="5"/>
      <c r="AN419" s="31"/>
      <c r="AO419" s="31"/>
      <c r="AP419" s="31"/>
      <c r="AQ419" s="31"/>
      <c r="AR419" s="31"/>
      <c r="AS419" s="30"/>
      <c r="AT419" s="37">
        <v>32</v>
      </c>
      <c r="AU419" s="37"/>
      <c r="AV419" s="37"/>
      <c r="AW419" s="37"/>
      <c r="AX419" s="37"/>
      <c r="AY419" s="38"/>
      <c r="AZ419" s="38"/>
      <c r="BA419" s="38"/>
      <c r="BB419" s="46"/>
      <c r="BC419" s="37"/>
      <c r="BD419" s="37"/>
      <c r="BE419" s="5"/>
      <c r="BF419" s="5"/>
      <c r="BG419" s="47" t="s">
        <v>3363</v>
      </c>
      <c r="BH419" s="47"/>
      <c r="BI419" s="31" t="s">
        <v>3363</v>
      </c>
      <c r="BJ419" s="48"/>
      <c r="BK419" s="49">
        <v>1</v>
      </c>
    </row>
    <row x14ac:dyDescent="0.25" r="420" customHeight="1" ht="31.5">
      <c r="A420" s="50">
        <v>30041</v>
      </c>
      <c r="B420" s="155" t="s">
        <v>3364</v>
      </c>
      <c r="C420" s="51" t="s">
        <v>3365</v>
      </c>
      <c r="D420" s="51" t="s">
        <v>3366</v>
      </c>
      <c r="E420" s="155"/>
      <c r="F420" s="155" t="s">
        <v>226</v>
      </c>
      <c r="G420" s="155" t="s">
        <v>975</v>
      </c>
      <c r="H420" s="51" t="s">
        <v>3367</v>
      </c>
      <c r="I420" s="32"/>
      <c r="J420" s="32"/>
      <c r="K420" s="5"/>
      <c r="L420" s="5"/>
      <c r="M420" s="5" t="s">
        <v>820</v>
      </c>
      <c r="N420" s="5" t="s">
        <v>232</v>
      </c>
      <c r="O420" s="33"/>
      <c r="P420" s="5"/>
      <c r="Q420" s="1" t="s">
        <v>251</v>
      </c>
      <c r="R420" s="31" t="s">
        <v>286</v>
      </c>
      <c r="S420" s="31"/>
      <c r="T420" s="31"/>
      <c r="U420" s="31" t="s">
        <v>3368</v>
      </c>
      <c r="V420" s="5"/>
      <c r="W420" s="34">
        <v>1</v>
      </c>
      <c r="X420" s="55" t="s">
        <v>273</v>
      </c>
      <c r="Y420" s="5" t="s">
        <v>256</v>
      </c>
      <c r="Z420" s="35">
        <v>0</v>
      </c>
      <c r="AA420" s="31" t="s">
        <v>3369</v>
      </c>
      <c r="AB420" s="31" t="s">
        <v>3370</v>
      </c>
      <c r="AC420" s="5" t="s">
        <v>38</v>
      </c>
      <c r="AD420" s="31" t="s">
        <v>259</v>
      </c>
      <c r="AE420" s="36" t="s">
        <v>3271</v>
      </c>
      <c r="AF420" s="31" t="s">
        <v>292</v>
      </c>
      <c r="AG420" s="31" t="s">
        <v>132</v>
      </c>
      <c r="AH420" s="31" t="s">
        <v>67</v>
      </c>
      <c r="AI420" s="31" t="s">
        <v>3272</v>
      </c>
      <c r="AJ420" s="31"/>
      <c r="AK420" s="31" t="s">
        <v>1036</v>
      </c>
      <c r="AL420" s="5" t="s">
        <v>3191</v>
      </c>
      <c r="AM420" s="5"/>
      <c r="AN420" s="31"/>
      <c r="AO420" s="31"/>
      <c r="AP420" s="31"/>
      <c r="AQ420" s="31"/>
      <c r="AR420" s="31"/>
      <c r="AS420" s="30"/>
      <c r="AT420" s="37">
        <v>40</v>
      </c>
      <c r="AU420" s="37"/>
      <c r="AV420" s="37"/>
      <c r="AW420" s="37"/>
      <c r="AX420" s="37"/>
      <c r="AY420" s="45"/>
      <c r="AZ420" s="38"/>
      <c r="BA420" s="38"/>
      <c r="BB420" s="46"/>
      <c r="BC420" s="37"/>
      <c r="BD420" s="37"/>
      <c r="BE420" s="5"/>
      <c r="BF420" s="5"/>
      <c r="BG420" s="47" t="s">
        <v>3371</v>
      </c>
      <c r="BH420" s="47"/>
      <c r="BI420" s="31" t="s">
        <v>3371</v>
      </c>
      <c r="BJ420" s="48"/>
      <c r="BK420" s="49">
        <v>1</v>
      </c>
    </row>
    <row x14ac:dyDescent="0.25" r="421" customHeight="1" ht="31.5">
      <c r="A421" s="50">
        <v>30031</v>
      </c>
      <c r="B421" s="155" t="s">
        <v>3372</v>
      </c>
      <c r="C421" s="51" t="s">
        <v>3373</v>
      </c>
      <c r="D421" s="51" t="s">
        <v>3374</v>
      </c>
      <c r="E421" s="155"/>
      <c r="F421" s="155" t="s">
        <v>577</v>
      </c>
      <c r="G421" s="155" t="s">
        <v>975</v>
      </c>
      <c r="H421" s="51" t="s">
        <v>3375</v>
      </c>
      <c r="I421" s="32"/>
      <c r="J421" s="32"/>
      <c r="K421" s="5"/>
      <c r="L421" s="5"/>
      <c r="M421" s="5" t="s">
        <v>820</v>
      </c>
      <c r="N421" s="5" t="s">
        <v>232</v>
      </c>
      <c r="O421" s="33"/>
      <c r="P421" s="5"/>
      <c r="Q421" s="1" t="s">
        <v>251</v>
      </c>
      <c r="R421" s="31" t="s">
        <v>286</v>
      </c>
      <c r="S421" s="31"/>
      <c r="T421" s="31"/>
      <c r="U421" s="31" t="s">
        <v>3376</v>
      </c>
      <c r="V421" s="5"/>
      <c r="W421" s="40">
        <v>1</v>
      </c>
      <c r="X421" s="55" t="s">
        <v>273</v>
      </c>
      <c r="Y421" s="42" t="s">
        <v>1913</v>
      </c>
      <c r="Z421" s="35">
        <v>0</v>
      </c>
      <c r="AA421" s="31" t="s">
        <v>3377</v>
      </c>
      <c r="AB421" s="31" t="s">
        <v>3378</v>
      </c>
      <c r="AC421" s="5" t="s">
        <v>38</v>
      </c>
      <c r="AD421" s="31" t="s">
        <v>259</v>
      </c>
      <c r="AE421" s="36" t="s">
        <v>3271</v>
      </c>
      <c r="AF421" s="31" t="s">
        <v>292</v>
      </c>
      <c r="AG421" s="31" t="s">
        <v>123</v>
      </c>
      <c r="AH421" s="31" t="s">
        <v>55</v>
      </c>
      <c r="AI421" s="31" t="s">
        <v>3272</v>
      </c>
      <c r="AJ421" s="31"/>
      <c r="AK421" s="31" t="s">
        <v>1036</v>
      </c>
      <c r="AL421" s="5" t="s">
        <v>3191</v>
      </c>
      <c r="AM421" s="5"/>
      <c r="AN421" s="31"/>
      <c r="AO421" s="31"/>
      <c r="AP421" s="31"/>
      <c r="AQ421" s="31"/>
      <c r="AR421" s="31"/>
      <c r="AS421" s="30"/>
      <c r="AT421" s="37">
        <v>37</v>
      </c>
      <c r="AU421" s="37"/>
      <c r="AV421" s="37"/>
      <c r="AW421" s="37"/>
      <c r="AX421" s="37"/>
      <c r="AY421" s="38"/>
      <c r="AZ421" s="38"/>
      <c r="BA421" s="38"/>
      <c r="BB421" s="46"/>
      <c r="BC421" s="37"/>
      <c r="BD421" s="37"/>
      <c r="BE421" s="5"/>
      <c r="BF421" s="5"/>
      <c r="BG421" s="47" t="s">
        <v>3379</v>
      </c>
      <c r="BH421" s="47"/>
      <c r="BI421" s="31" t="s">
        <v>3379</v>
      </c>
      <c r="BJ421" s="48"/>
      <c r="BK421" s="49">
        <v>1</v>
      </c>
    </row>
    <row x14ac:dyDescent="0.25" r="422" customHeight="1" ht="31.5">
      <c r="A422" s="50">
        <v>30008</v>
      </c>
      <c r="B422" s="155" t="s">
        <v>3380</v>
      </c>
      <c r="C422" s="51" t="s">
        <v>3381</v>
      </c>
      <c r="D422" s="51" t="s">
        <v>3382</v>
      </c>
      <c r="E422" s="155"/>
      <c r="F422" s="155" t="s">
        <v>577</v>
      </c>
      <c r="G422" s="155" t="s">
        <v>975</v>
      </c>
      <c r="H422" s="51" t="s">
        <v>3383</v>
      </c>
      <c r="I422" s="32"/>
      <c r="J422" s="32"/>
      <c r="K422" s="5"/>
      <c r="L422" s="5"/>
      <c r="M422" s="5" t="s">
        <v>820</v>
      </c>
      <c r="N422" s="5" t="s">
        <v>250</v>
      </c>
      <c r="O422" s="33"/>
      <c r="P422" s="5"/>
      <c r="Q422" s="1" t="s">
        <v>233</v>
      </c>
      <c r="R422" s="31" t="s">
        <v>233</v>
      </c>
      <c r="S422" s="31"/>
      <c r="T422" s="31"/>
      <c r="U422" s="31" t="s">
        <v>2989</v>
      </c>
      <c r="V422" s="5"/>
      <c r="W422" s="40">
        <v>1</v>
      </c>
      <c r="X422" s="41" t="s">
        <v>273</v>
      </c>
      <c r="Y422" s="42"/>
      <c r="Z422" s="35">
        <v>0</v>
      </c>
      <c r="AA422" s="31" t="s">
        <v>3384</v>
      </c>
      <c r="AB422" s="31" t="s">
        <v>3385</v>
      </c>
      <c r="AC422" s="5" t="s">
        <v>38</v>
      </c>
      <c r="AD422" s="31" t="s">
        <v>238</v>
      </c>
      <c r="AE422" s="36" t="s">
        <v>2858</v>
      </c>
      <c r="AF422" s="31" t="s">
        <v>3386</v>
      </c>
      <c r="AG422" s="31"/>
      <c r="AH422" s="31"/>
      <c r="AI422" s="31"/>
      <c r="AJ422" s="31" t="s">
        <v>241</v>
      </c>
      <c r="AK422" s="31" t="s">
        <v>238</v>
      </c>
      <c r="AL422" s="5"/>
      <c r="AM422" s="31" t="s">
        <v>2860</v>
      </c>
      <c r="AN422" s="31"/>
      <c r="AO422" s="31"/>
      <c r="AP422" s="31"/>
      <c r="AQ422" s="31"/>
      <c r="AR422" s="31"/>
      <c r="AS422" s="30"/>
      <c r="AT422" s="37">
        <v>47</v>
      </c>
      <c r="AU422" s="37"/>
      <c r="AV422" s="37"/>
      <c r="AW422" s="37"/>
      <c r="AX422" s="37"/>
      <c r="AY422" s="38"/>
      <c r="AZ422" s="38"/>
      <c r="BA422" s="38"/>
      <c r="BB422" s="46"/>
      <c r="BC422" s="37"/>
      <c r="BD422" s="37"/>
      <c r="BE422" s="5"/>
      <c r="BF422" s="5"/>
      <c r="BG422" s="31" t="s">
        <v>2991</v>
      </c>
      <c r="BH422" s="31"/>
      <c r="BI422" s="31" t="s">
        <v>2989</v>
      </c>
      <c r="BJ422" s="48"/>
      <c r="BK422" s="49">
        <v>1</v>
      </c>
    </row>
    <row x14ac:dyDescent="0.25" r="423" customHeight="1" ht="31.5">
      <c r="A423" s="50"/>
      <c r="B423" s="155" t="s">
        <v>3387</v>
      </c>
      <c r="C423" s="51" t="s">
        <v>3388</v>
      </c>
      <c r="D423" s="51" t="s">
        <v>3389</v>
      </c>
      <c r="E423" s="155"/>
      <c r="F423" s="155" t="s">
        <v>226</v>
      </c>
      <c r="G423" s="155" t="s">
        <v>975</v>
      </c>
      <c r="H423" s="51" t="s">
        <v>3390</v>
      </c>
      <c r="I423" s="31"/>
      <c r="J423" s="31"/>
      <c r="K423" s="5"/>
      <c r="L423" s="5"/>
      <c r="M423" s="5" t="s">
        <v>820</v>
      </c>
      <c r="N423" s="5" t="s">
        <v>232</v>
      </c>
      <c r="O423" s="33"/>
      <c r="P423" s="5"/>
      <c r="Q423" s="1" t="s">
        <v>251</v>
      </c>
      <c r="R423" s="31" t="s">
        <v>286</v>
      </c>
      <c r="S423" s="31"/>
      <c r="T423" s="31"/>
      <c r="U423" s="31" t="s">
        <v>3389</v>
      </c>
      <c r="V423" s="5"/>
      <c r="W423" s="34">
        <v>1</v>
      </c>
      <c r="X423" s="55" t="s">
        <v>273</v>
      </c>
      <c r="Y423" s="5" t="s">
        <v>256</v>
      </c>
      <c r="Z423" s="35">
        <v>0</v>
      </c>
      <c r="AA423" s="31" t="s">
        <v>3389</v>
      </c>
      <c r="AB423" s="31"/>
      <c r="AC423" s="5" t="s">
        <v>52</v>
      </c>
      <c r="AD423" s="31"/>
      <c r="AE423" s="36"/>
      <c r="AF423" s="31"/>
      <c r="AG423" s="31"/>
      <c r="AH423" s="31"/>
      <c r="AI423" s="31"/>
      <c r="AJ423" s="31"/>
      <c r="AK423" s="31" t="s">
        <v>1036</v>
      </c>
      <c r="AL423" s="31"/>
      <c r="AM423" s="31"/>
      <c r="AN423" s="31"/>
      <c r="AO423" s="31"/>
      <c r="AP423" s="31"/>
      <c r="AQ423" s="31"/>
      <c r="AR423" s="31"/>
      <c r="AS423" s="30"/>
      <c r="AT423" s="37">
        <v>41</v>
      </c>
      <c r="AU423" s="37"/>
      <c r="AV423" s="37"/>
      <c r="AW423" s="37"/>
      <c r="AX423" s="37"/>
      <c r="AY423" s="38"/>
      <c r="AZ423" s="38"/>
      <c r="BA423" s="38"/>
      <c r="BB423" s="46"/>
      <c r="BC423" s="37"/>
      <c r="BD423" s="37"/>
      <c r="BE423" s="5"/>
      <c r="BF423" s="5"/>
      <c r="BG423" s="31" t="s">
        <v>3391</v>
      </c>
      <c r="BH423" s="31"/>
      <c r="BI423" s="31" t="s">
        <v>3391</v>
      </c>
      <c r="BJ423" s="48"/>
      <c r="BK423" s="49">
        <v>1</v>
      </c>
    </row>
    <row x14ac:dyDescent="0.25" r="424" customHeight="1" ht="56.25">
      <c r="A424" s="50">
        <v>30007</v>
      </c>
      <c r="B424" s="155" t="s">
        <v>3392</v>
      </c>
      <c r="C424" s="51" t="s">
        <v>3393</v>
      </c>
      <c r="D424" s="51" t="s">
        <v>3394</v>
      </c>
      <c r="E424" s="155" t="s">
        <v>529</v>
      </c>
      <c r="F424" s="155" t="s">
        <v>3395</v>
      </c>
      <c r="G424" s="155" t="s">
        <v>975</v>
      </c>
      <c r="H424" s="51" t="s">
        <v>3396</v>
      </c>
      <c r="I424" s="32"/>
      <c r="J424" s="32"/>
      <c r="K424" s="5"/>
      <c r="L424" s="5"/>
      <c r="M424" s="5" t="s">
        <v>820</v>
      </c>
      <c r="N424" s="5" t="s">
        <v>579</v>
      </c>
      <c r="O424" s="33"/>
      <c r="P424" s="5"/>
      <c r="Q424" s="1" t="s">
        <v>251</v>
      </c>
      <c r="R424" s="31" t="s">
        <v>252</v>
      </c>
      <c r="S424" s="31"/>
      <c r="T424" s="31"/>
      <c r="U424" s="31" t="s">
        <v>3397</v>
      </c>
      <c r="V424" s="31" t="s">
        <v>3398</v>
      </c>
      <c r="W424" s="40">
        <v>1</v>
      </c>
      <c r="X424" s="41" t="s">
        <v>820</v>
      </c>
      <c r="Y424" s="42"/>
      <c r="Z424" s="35">
        <v>1</v>
      </c>
      <c r="AA424" s="31" t="s">
        <v>3399</v>
      </c>
      <c r="AB424" s="31" t="s">
        <v>3400</v>
      </c>
      <c r="AC424" s="5" t="s">
        <v>76</v>
      </c>
      <c r="AD424" s="31" t="s">
        <v>259</v>
      </c>
      <c r="AE424" s="36" t="s">
        <v>1036</v>
      </c>
      <c r="AF424" s="31" t="s">
        <v>1079</v>
      </c>
      <c r="AG424" s="31"/>
      <c r="AH424" s="31"/>
      <c r="AI424" s="31" t="s">
        <v>1038</v>
      </c>
      <c r="AJ424" s="31" t="s">
        <v>262</v>
      </c>
      <c r="AK424" s="31" t="s">
        <v>259</v>
      </c>
      <c r="AL424" s="31"/>
      <c r="AM424" s="31"/>
      <c r="AN424" s="31" t="s">
        <v>1080</v>
      </c>
      <c r="AO424" s="31" t="s">
        <v>259</v>
      </c>
      <c r="AP424" s="31" t="s">
        <v>1078</v>
      </c>
      <c r="AQ424" s="31"/>
      <c r="AR424" s="31"/>
      <c r="AS424" s="30"/>
      <c r="AT424" s="37">
        <v>10</v>
      </c>
      <c r="AU424" s="37"/>
      <c r="AV424" s="37"/>
      <c r="AW424" s="37"/>
      <c r="AX424" s="37"/>
      <c r="AY424" s="38"/>
      <c r="AZ424" s="38"/>
      <c r="BA424" s="38"/>
      <c r="BB424" s="46" t="s">
        <v>529</v>
      </c>
      <c r="BC424" s="37"/>
      <c r="BD424" s="37"/>
      <c r="BE424" s="5"/>
      <c r="BF424" s="5"/>
      <c r="BG424" s="47" t="s">
        <v>3401</v>
      </c>
      <c r="BH424" s="47"/>
      <c r="BI424" s="31" t="s">
        <v>3401</v>
      </c>
      <c r="BJ424" s="48"/>
      <c r="BK424" s="49">
        <v>1</v>
      </c>
    </row>
    <row x14ac:dyDescent="0.25" r="425" customHeight="1" ht="73.5">
      <c r="A425" s="50" t="s">
        <v>1020</v>
      </c>
      <c r="B425" s="155" t="s">
        <v>386</v>
      </c>
      <c r="C425" s="51" t="s">
        <v>3402</v>
      </c>
      <c r="D425" s="51" t="s">
        <v>3402</v>
      </c>
      <c r="E425" s="155"/>
      <c r="F425" s="155" t="s">
        <v>1772</v>
      </c>
      <c r="G425" s="155" t="s">
        <v>975</v>
      </c>
      <c r="H425" s="51" t="s">
        <v>3396</v>
      </c>
      <c r="I425" s="32"/>
      <c r="J425" s="32"/>
      <c r="K425" s="5"/>
      <c r="L425" s="5"/>
      <c r="M425" s="5" t="s">
        <v>820</v>
      </c>
      <c r="N425" s="5" t="s">
        <v>579</v>
      </c>
      <c r="O425" s="33"/>
      <c r="P425" s="5"/>
      <c r="Q425" s="1" t="s">
        <v>251</v>
      </c>
      <c r="R425" s="31" t="s">
        <v>252</v>
      </c>
      <c r="S425" s="31"/>
      <c r="T425" s="31"/>
      <c r="U425" s="31" t="s">
        <v>3402</v>
      </c>
      <c r="V425" s="31" t="s">
        <v>3398</v>
      </c>
      <c r="W425" s="40">
        <v>1</v>
      </c>
      <c r="X425" s="41" t="s">
        <v>820</v>
      </c>
      <c r="Y425" s="42"/>
      <c r="Z425" s="35">
        <v>1</v>
      </c>
      <c r="AA425" s="31" t="s">
        <v>3403</v>
      </c>
      <c r="AB425" s="31" t="s">
        <v>3404</v>
      </c>
      <c r="AC425" s="5" t="s">
        <v>76</v>
      </c>
      <c r="AD425" s="31" t="s">
        <v>259</v>
      </c>
      <c r="AE425" s="36" t="s">
        <v>1036</v>
      </c>
      <c r="AF425" s="31" t="s">
        <v>1079</v>
      </c>
      <c r="AG425" s="31"/>
      <c r="AH425" s="31"/>
      <c r="AI425" s="31" t="s">
        <v>1038</v>
      </c>
      <c r="AJ425" s="31" t="s">
        <v>262</v>
      </c>
      <c r="AK425" s="31" t="s">
        <v>259</v>
      </c>
      <c r="AL425" s="31"/>
      <c r="AM425" s="31"/>
      <c r="AN425" s="31" t="s">
        <v>1080</v>
      </c>
      <c r="AO425" s="31" t="s">
        <v>259</v>
      </c>
      <c r="AP425" s="31" t="s">
        <v>1078</v>
      </c>
      <c r="AQ425" s="31"/>
      <c r="AR425" s="31"/>
      <c r="AS425" s="30"/>
      <c r="AT425" s="37">
        <v>10</v>
      </c>
      <c r="AU425" s="37"/>
      <c r="AV425" s="37"/>
      <c r="AW425" s="37"/>
      <c r="AX425" s="37"/>
      <c r="AY425" s="38"/>
      <c r="AZ425" s="38"/>
      <c r="BA425" s="38"/>
      <c r="BB425" s="46" t="s">
        <v>529</v>
      </c>
      <c r="BC425" s="37"/>
      <c r="BD425" s="37"/>
      <c r="BE425" s="5"/>
      <c r="BF425" s="5"/>
      <c r="BG425" s="47" t="s">
        <v>3402</v>
      </c>
      <c r="BH425" s="47"/>
      <c r="BI425" s="31" t="s">
        <v>3402</v>
      </c>
      <c r="BJ425" s="48"/>
      <c r="BK425" s="49">
        <v>1</v>
      </c>
    </row>
    <row x14ac:dyDescent="0.25" r="426" customHeight="1" ht="31.5">
      <c r="A426" s="118">
        <v>10119</v>
      </c>
      <c r="B426" s="119" t="s">
        <v>3405</v>
      </c>
      <c r="C426" s="191" t="s">
        <v>3406</v>
      </c>
      <c r="D426" s="191" t="s">
        <v>3407</v>
      </c>
      <c r="E426" s="119"/>
      <c r="F426" s="119" t="s">
        <v>1189</v>
      </c>
      <c r="G426" s="119" t="s">
        <v>975</v>
      </c>
      <c r="H426" s="191"/>
      <c r="I426" s="230"/>
      <c r="J426" s="230"/>
      <c r="K426" s="119"/>
      <c r="L426" s="119"/>
      <c r="M426" s="119" t="s">
        <v>231</v>
      </c>
      <c r="N426" s="119" t="s">
        <v>232</v>
      </c>
      <c r="O426" s="192"/>
      <c r="P426" s="119"/>
      <c r="Q426" s="46" t="s">
        <v>233</v>
      </c>
      <c r="R426" s="191" t="s">
        <v>233</v>
      </c>
      <c r="S426" s="191"/>
      <c r="T426" s="191"/>
      <c r="U426" s="191" t="s">
        <v>3408</v>
      </c>
      <c r="V426" s="119"/>
      <c r="W426" s="120" t="s">
        <v>386</v>
      </c>
      <c r="X426" s="191"/>
      <c r="Y426" s="119" t="s">
        <v>979</v>
      </c>
      <c r="Z426" s="193"/>
      <c r="AA426" s="191" t="s">
        <v>3409</v>
      </c>
      <c r="AB426" s="191" t="s">
        <v>3410</v>
      </c>
      <c r="AC426" s="119" t="s">
        <v>38</v>
      </c>
      <c r="AD426" s="191"/>
      <c r="AE426" s="194"/>
      <c r="AF426" s="191"/>
      <c r="AG426" s="191"/>
      <c r="AH426" s="191" t="s">
        <v>27</v>
      </c>
      <c r="AI426" s="191"/>
      <c r="AJ426" s="191"/>
      <c r="AK426" s="191"/>
      <c r="AL426" s="191"/>
      <c r="AM426" s="191"/>
      <c r="AN426" s="191"/>
      <c r="AO426" s="191"/>
      <c r="AP426" s="191"/>
      <c r="AQ426" s="191"/>
      <c r="AR426" s="191"/>
      <c r="AS426" s="118"/>
      <c r="AT426" s="121"/>
      <c r="AU426" s="121"/>
      <c r="AV426" s="121"/>
      <c r="AW426" s="121"/>
      <c r="AX426" s="121"/>
      <c r="AY426" s="120"/>
      <c r="AZ426" s="120"/>
      <c r="BA426" s="120"/>
      <c r="BB426" s="46"/>
      <c r="BC426" s="121"/>
      <c r="BD426" s="121"/>
      <c r="BE426" s="119"/>
      <c r="BF426" s="119"/>
      <c r="BG426" s="191"/>
      <c r="BH426" s="191"/>
      <c r="BI426" s="191"/>
      <c r="BJ426" s="191"/>
      <c r="BK426" s="118"/>
    </row>
    <row x14ac:dyDescent="0.25" r="427" customHeight="1" ht="31.5">
      <c r="A427" s="90">
        <v>30026</v>
      </c>
      <c r="B427" s="92" t="s">
        <v>3411</v>
      </c>
      <c r="C427" s="52" t="s">
        <v>3412</v>
      </c>
      <c r="D427" s="52" t="s">
        <v>3413</v>
      </c>
      <c r="E427" s="92"/>
      <c r="F427" s="92" t="s">
        <v>3414</v>
      </c>
      <c r="G427" s="92" t="s">
        <v>975</v>
      </c>
      <c r="H427" s="52" t="s">
        <v>3415</v>
      </c>
      <c r="I427" s="196"/>
      <c r="J427" s="196"/>
      <c r="K427" s="92"/>
      <c r="L427" s="92"/>
      <c r="M427" s="92" t="s">
        <v>820</v>
      </c>
      <c r="N427" s="92" t="s">
        <v>232</v>
      </c>
      <c r="O427" s="93"/>
      <c r="P427" s="92"/>
      <c r="Q427" s="91" t="s">
        <v>251</v>
      </c>
      <c r="R427" s="52" t="s">
        <v>286</v>
      </c>
      <c r="S427" s="52"/>
      <c r="T427" s="52"/>
      <c r="U427" s="52" t="s">
        <v>3416</v>
      </c>
      <c r="V427" s="92"/>
      <c r="W427" s="245">
        <v>1</v>
      </c>
      <c r="X427" s="52" t="s">
        <v>826</v>
      </c>
      <c r="Y427" s="92"/>
      <c r="Z427" s="95">
        <v>1</v>
      </c>
      <c r="AA427" s="52" t="s">
        <v>3417</v>
      </c>
      <c r="AB427" s="52" t="s">
        <v>3418</v>
      </c>
      <c r="AC427" s="92" t="s">
        <v>52</v>
      </c>
      <c r="AD427" s="52" t="s">
        <v>259</v>
      </c>
      <c r="AE427" s="96" t="s">
        <v>3419</v>
      </c>
      <c r="AF427" s="52" t="s">
        <v>3420</v>
      </c>
      <c r="AG427" s="52"/>
      <c r="AH427" s="52"/>
      <c r="AI427" s="52"/>
      <c r="AJ427" s="52"/>
      <c r="AK427" s="52" t="s">
        <v>1036</v>
      </c>
      <c r="AL427" s="92" t="s">
        <v>2802</v>
      </c>
      <c r="AM427" s="52"/>
      <c r="AN427" s="52" t="s">
        <v>3421</v>
      </c>
      <c r="AO427" s="52" t="s">
        <v>259</v>
      </c>
      <c r="AP427" s="52" t="s">
        <v>3422</v>
      </c>
      <c r="AQ427" s="52"/>
      <c r="AR427" s="52"/>
      <c r="AS427" s="90"/>
      <c r="AT427" s="97">
        <v>42</v>
      </c>
      <c r="AU427" s="97"/>
      <c r="AV427" s="97"/>
      <c r="AW427" s="97"/>
      <c r="AX427" s="97"/>
      <c r="AY427" s="94"/>
      <c r="AZ427" s="94"/>
      <c r="BA427" s="94"/>
      <c r="BB427" s="91"/>
      <c r="BC427" s="97"/>
      <c r="BD427" s="97"/>
      <c r="BE427" s="92"/>
      <c r="BF427" s="92"/>
      <c r="BG427" s="52" t="s">
        <v>3423</v>
      </c>
      <c r="BH427" s="52"/>
      <c r="BI427" s="52" t="s">
        <v>3423</v>
      </c>
      <c r="BJ427" s="52"/>
      <c r="BK427" s="90"/>
    </row>
    <row x14ac:dyDescent="0.25" r="428" customHeight="1" ht="31.5">
      <c r="A428" s="30" t="s">
        <v>3424</v>
      </c>
      <c r="B428" s="5" t="s">
        <v>3425</v>
      </c>
      <c r="C428" s="31" t="s">
        <v>3426</v>
      </c>
      <c r="D428" s="31" t="s">
        <v>3426</v>
      </c>
      <c r="E428" s="5"/>
      <c r="F428" s="5" t="s">
        <v>1953</v>
      </c>
      <c r="G428" s="5" t="s">
        <v>569</v>
      </c>
      <c r="H428" s="31" t="s">
        <v>3427</v>
      </c>
      <c r="I428" s="32"/>
      <c r="J428" s="32"/>
      <c r="K428" s="5"/>
      <c r="L428" s="5"/>
      <c r="M428" s="5" t="s">
        <v>231</v>
      </c>
      <c r="N428" s="5"/>
      <c r="O428" s="33"/>
      <c r="P428" s="5"/>
      <c r="Q428" s="1" t="s">
        <v>251</v>
      </c>
      <c r="R428" s="31"/>
      <c r="S428" s="31"/>
      <c r="T428" s="31"/>
      <c r="U428" s="31" t="s">
        <v>3428</v>
      </c>
      <c r="V428" s="5"/>
      <c r="W428" s="40">
        <v>0</v>
      </c>
      <c r="X428" s="41" t="s">
        <v>386</v>
      </c>
      <c r="Y428" s="42"/>
      <c r="Z428" s="38" t="s">
        <v>386</v>
      </c>
      <c r="AA428" s="31" t="s">
        <v>3426</v>
      </c>
      <c r="AB428" s="31" t="s">
        <v>3429</v>
      </c>
      <c r="AC428" s="5" t="s">
        <v>24</v>
      </c>
      <c r="AD428" s="5" t="s">
        <v>259</v>
      </c>
      <c r="AE428" s="169" t="s">
        <v>1957</v>
      </c>
      <c r="AF428" s="5" t="s">
        <v>292</v>
      </c>
      <c r="AG428" s="5" t="s">
        <v>95</v>
      </c>
      <c r="AH428" s="5"/>
      <c r="AI428" s="5"/>
      <c r="AJ428" s="5" t="s">
        <v>262</v>
      </c>
      <c r="AK428" s="5" t="s">
        <v>259</v>
      </c>
      <c r="AL428" s="5"/>
      <c r="AM428" s="5"/>
      <c r="AN428" s="5"/>
      <c r="AO428" s="5"/>
      <c r="AP428" s="5"/>
      <c r="AQ428" s="5"/>
      <c r="AR428" s="5"/>
      <c r="AS428" s="30">
        <v>131</v>
      </c>
      <c r="AT428" s="37"/>
      <c r="AU428" s="37"/>
      <c r="AV428" s="37"/>
      <c r="AW428" s="37"/>
      <c r="AX428" s="37">
        <v>5</v>
      </c>
      <c r="AY428" s="38"/>
      <c r="AZ428" s="38"/>
      <c r="BA428" s="38"/>
      <c r="BB428" s="46"/>
      <c r="BC428" s="37"/>
      <c r="BD428" s="37"/>
      <c r="BE428" s="5"/>
      <c r="BF428" s="5"/>
      <c r="BG428" s="31"/>
      <c r="BH428" s="31"/>
      <c r="BI428" s="31"/>
      <c r="BJ428" s="48"/>
      <c r="BK428" s="49"/>
    </row>
    <row x14ac:dyDescent="0.25" r="429" customHeight="1" ht="31.5">
      <c r="A429" s="90" t="s">
        <v>3430</v>
      </c>
      <c r="B429" s="92" t="s">
        <v>3431</v>
      </c>
      <c r="C429" s="52" t="s">
        <v>3432</v>
      </c>
      <c r="D429" s="52" t="s">
        <v>3433</v>
      </c>
      <c r="E429" s="92"/>
      <c r="F429" s="92" t="s">
        <v>637</v>
      </c>
      <c r="G429" s="92" t="s">
        <v>1329</v>
      </c>
      <c r="H429" s="52" t="s">
        <v>3434</v>
      </c>
      <c r="I429" s="196"/>
      <c r="J429" s="196"/>
      <c r="K429" s="92"/>
      <c r="L429" s="92"/>
      <c r="M429" s="92" t="s">
        <v>231</v>
      </c>
      <c r="N429" s="92" t="s">
        <v>580</v>
      </c>
      <c r="O429" s="93"/>
      <c r="P429" s="92"/>
      <c r="Q429" s="91" t="s">
        <v>251</v>
      </c>
      <c r="R429" s="52" t="s">
        <v>3435</v>
      </c>
      <c r="S429" s="52"/>
      <c r="T429" s="52"/>
      <c r="U429" s="52" t="s">
        <v>3436</v>
      </c>
      <c r="V429" s="92"/>
      <c r="W429" s="245">
        <v>1</v>
      </c>
      <c r="X429" s="52" t="s">
        <v>581</v>
      </c>
      <c r="Y429" s="92"/>
      <c r="Z429" s="95">
        <v>1</v>
      </c>
      <c r="AA429" s="52" t="s">
        <v>3433</v>
      </c>
      <c r="AB429" s="52" t="s">
        <v>3437</v>
      </c>
      <c r="AC429" s="92" t="s">
        <v>24</v>
      </c>
      <c r="AD429" s="92" t="s">
        <v>259</v>
      </c>
      <c r="AE429" s="96" t="s">
        <v>1334</v>
      </c>
      <c r="AF429" s="52" t="s">
        <v>3437</v>
      </c>
      <c r="AG429" s="52"/>
      <c r="AH429" s="52"/>
      <c r="AI429" s="52" t="s">
        <v>1335</v>
      </c>
      <c r="AJ429" s="52" t="s">
        <v>262</v>
      </c>
      <c r="AK429" s="52" t="s">
        <v>259</v>
      </c>
      <c r="AL429" s="52"/>
      <c r="AM429" s="52"/>
      <c r="AN429" s="52"/>
      <c r="AO429" s="52"/>
      <c r="AP429" s="52"/>
      <c r="AQ429" s="52"/>
      <c r="AR429" s="52"/>
      <c r="AS429" s="90">
        <v>6</v>
      </c>
      <c r="AT429" s="97"/>
      <c r="AU429" s="97"/>
      <c r="AV429" s="97"/>
      <c r="AW429" s="97"/>
      <c r="AX429" s="97"/>
      <c r="AY429" s="94"/>
      <c r="AZ429" s="94"/>
      <c r="BA429" s="94"/>
      <c r="BB429" s="91"/>
      <c r="BC429" s="97"/>
      <c r="BD429" s="97"/>
      <c r="BE429" s="92"/>
      <c r="BF429" s="92"/>
      <c r="BG429" s="52"/>
      <c r="BH429" s="52"/>
      <c r="BI429" s="52"/>
      <c r="BJ429" s="52"/>
      <c r="BK429" s="90">
        <v>3</v>
      </c>
    </row>
    <row x14ac:dyDescent="0.25" r="430" customHeight="1" ht="48">
      <c r="A430" s="30" t="s">
        <v>3438</v>
      </c>
      <c r="B430" s="5" t="s">
        <v>3439</v>
      </c>
      <c r="C430" s="31" t="s">
        <v>3440</v>
      </c>
      <c r="D430" s="31" t="s">
        <v>3441</v>
      </c>
      <c r="E430" s="5"/>
      <c r="F430" s="5" t="s">
        <v>577</v>
      </c>
      <c r="G430" s="5" t="s">
        <v>1329</v>
      </c>
      <c r="H430" s="31" t="s">
        <v>3442</v>
      </c>
      <c r="I430" s="32"/>
      <c r="J430" s="32"/>
      <c r="K430" s="5"/>
      <c r="L430" s="5"/>
      <c r="M430" s="5" t="s">
        <v>231</v>
      </c>
      <c r="N430" s="5" t="s">
        <v>580</v>
      </c>
      <c r="O430" s="33"/>
      <c r="P430" s="5"/>
      <c r="Q430" s="1" t="s">
        <v>251</v>
      </c>
      <c r="R430" s="31" t="s">
        <v>286</v>
      </c>
      <c r="S430" s="31"/>
      <c r="T430" s="31"/>
      <c r="U430" s="31" t="s">
        <v>3443</v>
      </c>
      <c r="V430" s="5"/>
      <c r="W430" s="40">
        <v>1</v>
      </c>
      <c r="X430" s="41" t="s">
        <v>821</v>
      </c>
      <c r="Y430" s="42" t="s">
        <v>3054</v>
      </c>
      <c r="Z430" s="35">
        <v>0</v>
      </c>
      <c r="AA430" s="31" t="s">
        <v>3444</v>
      </c>
      <c r="AB430" s="31" t="s">
        <v>3445</v>
      </c>
      <c r="AC430" s="5" t="s">
        <v>38</v>
      </c>
      <c r="AD430" s="5" t="s">
        <v>259</v>
      </c>
      <c r="AE430" s="36" t="s">
        <v>1399</v>
      </c>
      <c r="AF430" s="31" t="s">
        <v>3446</v>
      </c>
      <c r="AG430" s="31"/>
      <c r="AH430" s="31" t="s">
        <v>27</v>
      </c>
      <c r="AI430" s="31"/>
      <c r="AJ430" s="31" t="s">
        <v>262</v>
      </c>
      <c r="AK430" s="31" t="s">
        <v>259</v>
      </c>
      <c r="AL430" s="31"/>
      <c r="AM430" s="31"/>
      <c r="AN430" s="31"/>
      <c r="AO430" s="31"/>
      <c r="AP430" s="31"/>
      <c r="AQ430" s="31"/>
      <c r="AR430" s="31"/>
      <c r="AS430" s="30">
        <v>12</v>
      </c>
      <c r="AT430" s="37"/>
      <c r="AU430" s="37"/>
      <c r="AV430" s="37"/>
      <c r="AW430" s="37"/>
      <c r="AX430" s="37"/>
      <c r="AY430" s="38"/>
      <c r="AZ430" s="38"/>
      <c r="BA430" s="38"/>
      <c r="BB430" s="46"/>
      <c r="BC430" s="97">
        <v>97</v>
      </c>
      <c r="BD430" s="37"/>
      <c r="BE430" s="5"/>
      <c r="BF430" s="5"/>
      <c r="BG430" s="269" t="s">
        <v>3447</v>
      </c>
      <c r="BH430" s="47"/>
      <c r="BI430" s="52" t="s">
        <v>3447</v>
      </c>
      <c r="BJ430" s="48"/>
      <c r="BK430" s="49">
        <v>1</v>
      </c>
    </row>
    <row x14ac:dyDescent="0.25" r="431" customHeight="1" ht="31.5">
      <c r="A431" s="30">
        <v>10013</v>
      </c>
      <c r="B431" s="5" t="s">
        <v>3448</v>
      </c>
      <c r="C431" s="31" t="s">
        <v>3449</v>
      </c>
      <c r="D431" s="31" t="s">
        <v>3450</v>
      </c>
      <c r="E431" s="5"/>
      <c r="F431" s="5" t="s">
        <v>637</v>
      </c>
      <c r="G431" s="5" t="s">
        <v>1329</v>
      </c>
      <c r="H431" s="31" t="s">
        <v>3451</v>
      </c>
      <c r="I431" s="32"/>
      <c r="J431" s="32"/>
      <c r="K431" s="5"/>
      <c r="L431" s="5"/>
      <c r="M431" s="5" t="s">
        <v>231</v>
      </c>
      <c r="N431" s="5" t="s">
        <v>580</v>
      </c>
      <c r="O431" s="33"/>
      <c r="P431" s="5"/>
      <c r="Q431" s="1" t="s">
        <v>251</v>
      </c>
      <c r="R431" s="31" t="s">
        <v>252</v>
      </c>
      <c r="S431" s="31"/>
      <c r="T431" s="31"/>
      <c r="U431" s="31" t="s">
        <v>3449</v>
      </c>
      <c r="V431" s="5"/>
      <c r="W431" s="40">
        <v>1</v>
      </c>
      <c r="X431" s="31" t="s">
        <v>581</v>
      </c>
      <c r="Y431" s="42"/>
      <c r="Z431" s="35">
        <v>1</v>
      </c>
      <c r="AA431" s="31" t="s">
        <v>3452</v>
      </c>
      <c r="AB431" s="31" t="s">
        <v>3453</v>
      </c>
      <c r="AC431" s="5" t="s">
        <v>76</v>
      </c>
      <c r="AD431" s="5" t="s">
        <v>259</v>
      </c>
      <c r="AE431" s="36" t="s">
        <v>1399</v>
      </c>
      <c r="AF431" s="31" t="s">
        <v>3453</v>
      </c>
      <c r="AG431" s="31"/>
      <c r="AH431" s="31"/>
      <c r="AI431" s="31"/>
      <c r="AJ431" s="31" t="s">
        <v>262</v>
      </c>
      <c r="AK431" s="31" t="s">
        <v>259</v>
      </c>
      <c r="AL431" s="31"/>
      <c r="AM431" s="31"/>
      <c r="AN431" s="31" t="s">
        <v>3454</v>
      </c>
      <c r="AO431" s="31" t="s">
        <v>259</v>
      </c>
      <c r="AP431" s="31" t="s">
        <v>3453</v>
      </c>
      <c r="AQ431" s="31"/>
      <c r="AR431" s="31"/>
      <c r="AS431" s="30">
        <v>13</v>
      </c>
      <c r="AT431" s="37"/>
      <c r="AU431" s="37"/>
      <c r="AV431" s="37"/>
      <c r="AW431" s="37"/>
      <c r="AX431" s="37"/>
      <c r="AY431" s="38"/>
      <c r="AZ431" s="38"/>
      <c r="BA431" s="38"/>
      <c r="BB431" s="46"/>
      <c r="BC431" s="37"/>
      <c r="BD431" s="37"/>
      <c r="BE431" s="5"/>
      <c r="BF431" s="5"/>
      <c r="BG431" s="52" t="s">
        <v>3449</v>
      </c>
      <c r="BH431" s="31"/>
      <c r="BI431" s="52" t="s">
        <v>3449</v>
      </c>
      <c r="BJ431" s="48"/>
      <c r="BK431" s="49">
        <v>1</v>
      </c>
    </row>
    <row x14ac:dyDescent="0.25" r="432" customHeight="1" ht="31.5">
      <c r="A432" s="30" t="s">
        <v>3455</v>
      </c>
      <c r="B432" s="5" t="s">
        <v>3456</v>
      </c>
      <c r="C432" s="31" t="s">
        <v>3457</v>
      </c>
      <c r="D432" s="31" t="s">
        <v>3458</v>
      </c>
      <c r="E432" s="5"/>
      <c r="F432" s="5" t="s">
        <v>637</v>
      </c>
      <c r="G432" s="5" t="s">
        <v>1329</v>
      </c>
      <c r="H432" s="31" t="s">
        <v>3459</v>
      </c>
      <c r="I432" s="32"/>
      <c r="J432" s="32"/>
      <c r="K432" s="5" t="s">
        <v>3460</v>
      </c>
      <c r="L432" s="5"/>
      <c r="M432" s="5" t="s">
        <v>231</v>
      </c>
      <c r="N432" s="5" t="s">
        <v>579</v>
      </c>
      <c r="O432" s="33"/>
      <c r="P432" s="5"/>
      <c r="Q432" s="1" t="s">
        <v>251</v>
      </c>
      <c r="R432" s="31" t="s">
        <v>286</v>
      </c>
      <c r="S432" s="31"/>
      <c r="T432" s="31"/>
      <c r="U432" s="31" t="s">
        <v>3457</v>
      </c>
      <c r="V432" s="5"/>
      <c r="W432" s="34">
        <v>1</v>
      </c>
      <c r="X432" s="178" t="s">
        <v>1407</v>
      </c>
      <c r="Y432" s="5"/>
      <c r="Z432" s="35">
        <v>1</v>
      </c>
      <c r="AA432" s="31" t="s">
        <v>3458</v>
      </c>
      <c r="AB432" s="31" t="s">
        <v>3461</v>
      </c>
      <c r="AC432" s="5" t="s">
        <v>24</v>
      </c>
      <c r="AD432" s="5" t="s">
        <v>259</v>
      </c>
      <c r="AE432" s="36" t="s">
        <v>1410</v>
      </c>
      <c r="AF432" s="31" t="s">
        <v>641</v>
      </c>
      <c r="AG432" s="31" t="s">
        <v>68</v>
      </c>
      <c r="AH432" s="31"/>
      <c r="AI432" s="31"/>
      <c r="AJ432" s="31" t="s">
        <v>262</v>
      </c>
      <c r="AK432" s="31" t="s">
        <v>259</v>
      </c>
      <c r="AL432" s="31"/>
      <c r="AM432" s="31"/>
      <c r="AN432" s="31"/>
      <c r="AO432" s="31"/>
      <c r="AP432" s="31"/>
      <c r="AQ432" s="31"/>
      <c r="AR432" s="31" t="s">
        <v>263</v>
      </c>
      <c r="AS432" s="30">
        <v>20</v>
      </c>
      <c r="AT432" s="37"/>
      <c r="AU432" s="37"/>
      <c r="AV432" s="37"/>
      <c r="AW432" s="37"/>
      <c r="AX432" s="37"/>
      <c r="AY432" s="38"/>
      <c r="AZ432" s="38"/>
      <c r="BA432" s="38"/>
      <c r="BB432" s="46"/>
      <c r="BC432" s="37">
        <v>32</v>
      </c>
      <c r="BD432" s="37"/>
      <c r="BE432" s="5"/>
      <c r="BF432" s="5"/>
      <c r="BG432" s="269" t="s">
        <v>3462</v>
      </c>
      <c r="BH432" s="31"/>
      <c r="BI432" s="52" t="s">
        <v>3462</v>
      </c>
      <c r="BJ432" s="48"/>
      <c r="BK432" s="49">
        <v>3</v>
      </c>
    </row>
    <row x14ac:dyDescent="0.25" r="433" customHeight="1" ht="31.5">
      <c r="A433" s="30" t="s">
        <v>3463</v>
      </c>
      <c r="B433" s="5" t="s">
        <v>3464</v>
      </c>
      <c r="C433" s="31" t="s">
        <v>3465</v>
      </c>
      <c r="D433" s="31" t="s">
        <v>3466</v>
      </c>
      <c r="E433" s="5"/>
      <c r="F433" s="5" t="s">
        <v>602</v>
      </c>
      <c r="G433" s="5" t="s">
        <v>1329</v>
      </c>
      <c r="H433" s="31" t="s">
        <v>3467</v>
      </c>
      <c r="I433" s="32"/>
      <c r="J433" s="32"/>
      <c r="K433" s="5"/>
      <c r="L433" s="5"/>
      <c r="M433" s="5" t="s">
        <v>231</v>
      </c>
      <c r="N433" s="5" t="s">
        <v>580</v>
      </c>
      <c r="O433" s="33"/>
      <c r="P433" s="5"/>
      <c r="Q433" s="1" t="s">
        <v>251</v>
      </c>
      <c r="R433" s="31" t="s">
        <v>286</v>
      </c>
      <c r="S433" s="31"/>
      <c r="T433" s="31"/>
      <c r="U433" s="31" t="s">
        <v>3468</v>
      </c>
      <c r="V433" s="5"/>
      <c r="W433" s="40">
        <v>0</v>
      </c>
      <c r="X433" s="41" t="s">
        <v>386</v>
      </c>
      <c r="Y433" s="42"/>
      <c r="Z433" s="20" t="s">
        <v>386</v>
      </c>
      <c r="AA433" s="31" t="s">
        <v>3469</v>
      </c>
      <c r="AB433" s="31" t="s">
        <v>3470</v>
      </c>
      <c r="AC433" s="5" t="s">
        <v>88</v>
      </c>
      <c r="AD433" s="5" t="s">
        <v>259</v>
      </c>
      <c r="AE433" s="36" t="s">
        <v>1660</v>
      </c>
      <c r="AF433" s="31" t="s">
        <v>3470</v>
      </c>
      <c r="AG433" s="31"/>
      <c r="AH433" s="31"/>
      <c r="AI433" s="31" t="s">
        <v>1335</v>
      </c>
      <c r="AJ433" s="31" t="s">
        <v>262</v>
      </c>
      <c r="AK433" s="31" t="s">
        <v>259</v>
      </c>
      <c r="AL433" s="31"/>
      <c r="AM433" s="31"/>
      <c r="AN433" s="31"/>
      <c r="AO433" s="31"/>
      <c r="AP433" s="31"/>
      <c r="AQ433" s="31"/>
      <c r="AR433" s="31"/>
      <c r="AS433" s="30">
        <v>51</v>
      </c>
      <c r="AT433" s="37"/>
      <c r="AU433" s="37"/>
      <c r="AV433" s="37"/>
      <c r="AW433" s="37"/>
      <c r="AX433" s="37"/>
      <c r="AY433" s="38"/>
      <c r="AZ433" s="38"/>
      <c r="BA433" s="38"/>
      <c r="BB433" s="46"/>
      <c r="BC433" s="37"/>
      <c r="BD433" s="37"/>
      <c r="BE433" s="5"/>
      <c r="BF433" s="5"/>
      <c r="BG433" s="31"/>
      <c r="BH433" s="31"/>
      <c r="BI433" s="31"/>
      <c r="BJ433" s="48"/>
      <c r="BK433" s="49"/>
    </row>
    <row x14ac:dyDescent="0.25" r="434" customHeight="1" ht="31.5">
      <c r="A434" s="30" t="s">
        <v>3471</v>
      </c>
      <c r="B434" s="5" t="s">
        <v>3472</v>
      </c>
      <c r="C434" s="31" t="s">
        <v>3473</v>
      </c>
      <c r="D434" s="31" t="s">
        <v>3474</v>
      </c>
      <c r="E434" s="5"/>
      <c r="F434" s="5" t="s">
        <v>3475</v>
      </c>
      <c r="G434" s="5" t="s">
        <v>1329</v>
      </c>
      <c r="H434" s="31" t="s">
        <v>3476</v>
      </c>
      <c r="I434" s="32"/>
      <c r="J434" s="32"/>
      <c r="K434" s="5"/>
      <c r="L434" s="5"/>
      <c r="M434" s="5" t="s">
        <v>231</v>
      </c>
      <c r="N434" s="5" t="s">
        <v>250</v>
      </c>
      <c r="O434" s="33"/>
      <c r="P434" s="5"/>
      <c r="Q434" s="1" t="s">
        <v>251</v>
      </c>
      <c r="R434" s="31" t="s">
        <v>252</v>
      </c>
      <c r="S434" s="31"/>
      <c r="T434" s="31"/>
      <c r="U434" s="31" t="s">
        <v>3477</v>
      </c>
      <c r="V434" s="5"/>
      <c r="W434" s="40">
        <v>1</v>
      </c>
      <c r="X434" s="31" t="s">
        <v>581</v>
      </c>
      <c r="Y434" s="42"/>
      <c r="Z434" s="20" t="s">
        <v>1068</v>
      </c>
      <c r="AA434" s="31" t="s">
        <v>3478</v>
      </c>
      <c r="AB434" s="31" t="s">
        <v>3479</v>
      </c>
      <c r="AC434" s="5" t="s">
        <v>76</v>
      </c>
      <c r="AD434" s="5" t="s">
        <v>259</v>
      </c>
      <c r="AE434" s="36" t="s">
        <v>1660</v>
      </c>
      <c r="AF434" s="31" t="s">
        <v>3480</v>
      </c>
      <c r="AG434" s="31"/>
      <c r="AH434" s="31"/>
      <c r="AI434" s="31" t="s">
        <v>1335</v>
      </c>
      <c r="AJ434" s="31" t="s">
        <v>262</v>
      </c>
      <c r="AK434" s="31" t="s">
        <v>259</v>
      </c>
      <c r="AL434" s="31"/>
      <c r="AM434" s="31"/>
      <c r="AN434" s="31" t="s">
        <v>3481</v>
      </c>
      <c r="AO434" s="31" t="s">
        <v>259</v>
      </c>
      <c r="AP434" s="31" t="s">
        <v>3479</v>
      </c>
      <c r="AQ434" s="31"/>
      <c r="AR434" s="31"/>
      <c r="AS434" s="30">
        <v>53</v>
      </c>
      <c r="AT434" s="37"/>
      <c r="AU434" s="37"/>
      <c r="AV434" s="37"/>
      <c r="AW434" s="37"/>
      <c r="AX434" s="37"/>
      <c r="AY434" s="38"/>
      <c r="AZ434" s="38"/>
      <c r="BA434" s="38"/>
      <c r="BB434" s="46"/>
      <c r="BC434" s="37"/>
      <c r="BD434" s="37"/>
      <c r="BE434" s="5"/>
      <c r="BF434" s="5"/>
      <c r="BG434" s="31" t="s">
        <v>3477</v>
      </c>
      <c r="BH434" s="31"/>
      <c r="BI434" s="31" t="s">
        <v>3477</v>
      </c>
      <c r="BJ434" s="48"/>
      <c r="BK434" s="49">
        <v>1</v>
      </c>
    </row>
    <row x14ac:dyDescent="0.25" r="435" customHeight="1" ht="31.5">
      <c r="A435" s="30" t="s">
        <v>3482</v>
      </c>
      <c r="B435" s="5" t="s">
        <v>3483</v>
      </c>
      <c r="C435" s="31" t="s">
        <v>3484</v>
      </c>
      <c r="D435" s="31" t="s">
        <v>3485</v>
      </c>
      <c r="E435" s="5"/>
      <c r="F435" s="5" t="s">
        <v>3486</v>
      </c>
      <c r="G435" s="5" t="s">
        <v>1329</v>
      </c>
      <c r="H435" s="31" t="s">
        <v>3487</v>
      </c>
      <c r="I435" s="32"/>
      <c r="J435" s="32"/>
      <c r="K435" s="5"/>
      <c r="L435" s="5"/>
      <c r="M435" s="5" t="s">
        <v>231</v>
      </c>
      <c r="N435" s="5" t="s">
        <v>250</v>
      </c>
      <c r="O435" s="33"/>
      <c r="P435" s="5"/>
      <c r="Q435" s="1" t="s">
        <v>251</v>
      </c>
      <c r="R435" s="31" t="s">
        <v>252</v>
      </c>
      <c r="S435" s="31"/>
      <c r="T435" s="31"/>
      <c r="U435" s="270">
        <f>C435</f>
      </c>
      <c r="V435" s="5"/>
      <c r="W435" s="40">
        <v>1</v>
      </c>
      <c r="X435" s="31" t="s">
        <v>581</v>
      </c>
      <c r="Y435" s="42"/>
      <c r="Z435" s="20" t="s">
        <v>1068</v>
      </c>
      <c r="AA435" s="31" t="s">
        <v>3478</v>
      </c>
      <c r="AB435" s="55" t="s">
        <v>3488</v>
      </c>
      <c r="AC435" s="5" t="s">
        <v>76</v>
      </c>
      <c r="AD435" s="5" t="s">
        <v>259</v>
      </c>
      <c r="AE435" s="36" t="s">
        <v>1660</v>
      </c>
      <c r="AF435" s="31" t="s">
        <v>3489</v>
      </c>
      <c r="AG435" s="31"/>
      <c r="AH435" s="31"/>
      <c r="AI435" s="31" t="s">
        <v>1335</v>
      </c>
      <c r="AJ435" s="31" t="s">
        <v>262</v>
      </c>
      <c r="AK435" s="31" t="s">
        <v>259</v>
      </c>
      <c r="AL435" s="31"/>
      <c r="AM435" s="31"/>
      <c r="AN435" s="31" t="s">
        <v>3490</v>
      </c>
      <c r="AO435" s="31" t="s">
        <v>259</v>
      </c>
      <c r="AP435" s="31" t="s">
        <v>3488</v>
      </c>
      <c r="AQ435" s="31"/>
      <c r="AR435" s="31"/>
      <c r="AS435" s="30">
        <v>54</v>
      </c>
      <c r="AT435" s="37"/>
      <c r="AU435" s="37"/>
      <c r="AV435" s="37"/>
      <c r="AW435" s="37"/>
      <c r="AX435" s="37"/>
      <c r="AY435" s="38"/>
      <c r="AZ435" s="38"/>
      <c r="BA435" s="38"/>
      <c r="BB435" s="46"/>
      <c r="BC435" s="37"/>
      <c r="BD435" s="37"/>
      <c r="BE435" s="5"/>
      <c r="BF435" s="119"/>
      <c r="BG435" s="52" t="s">
        <v>3491</v>
      </c>
      <c r="BH435" s="31"/>
      <c r="BI435" s="52" t="s">
        <v>3491</v>
      </c>
      <c r="BJ435" s="48"/>
      <c r="BK435" s="49">
        <v>1</v>
      </c>
    </row>
    <row x14ac:dyDescent="0.25" r="436" customHeight="1" ht="31.5">
      <c r="A436" s="30" t="s">
        <v>3492</v>
      </c>
      <c r="B436" s="5" t="s">
        <v>3493</v>
      </c>
      <c r="C436" s="31" t="s">
        <v>3494</v>
      </c>
      <c r="D436" s="31" t="s">
        <v>3495</v>
      </c>
      <c r="E436" s="5"/>
      <c r="F436" s="5" t="s">
        <v>226</v>
      </c>
      <c r="G436" s="5" t="s">
        <v>1329</v>
      </c>
      <c r="H436" s="31" t="s">
        <v>3496</v>
      </c>
      <c r="I436" s="32"/>
      <c r="J436" s="32"/>
      <c r="K436" s="5"/>
      <c r="L436" s="5"/>
      <c r="M436" s="5" t="s">
        <v>231</v>
      </c>
      <c r="N436" s="5" t="s">
        <v>250</v>
      </c>
      <c r="O436" s="33"/>
      <c r="P436" s="5"/>
      <c r="Q436" s="1" t="s">
        <v>251</v>
      </c>
      <c r="R436" s="31" t="s">
        <v>286</v>
      </c>
      <c r="S436" s="31"/>
      <c r="T436" s="31"/>
      <c r="U436" s="31" t="s">
        <v>3497</v>
      </c>
      <c r="V436" s="5"/>
      <c r="W436" s="40">
        <v>2</v>
      </c>
      <c r="X436" s="31" t="s">
        <v>581</v>
      </c>
      <c r="Y436" s="42" t="s">
        <v>256</v>
      </c>
      <c r="Z436" s="35">
        <v>0</v>
      </c>
      <c r="AA436" s="31" t="s">
        <v>3498</v>
      </c>
      <c r="AB436" s="31" t="s">
        <v>3499</v>
      </c>
      <c r="AC436" s="5" t="s">
        <v>52</v>
      </c>
      <c r="AD436" s="31" t="s">
        <v>259</v>
      </c>
      <c r="AE436" s="36" t="s">
        <v>3500</v>
      </c>
      <c r="AF436" s="31" t="s">
        <v>3499</v>
      </c>
      <c r="AG436" s="31"/>
      <c r="AH436" s="31"/>
      <c r="AI436" s="31" t="s">
        <v>1863</v>
      </c>
      <c r="AJ436" s="31" t="s">
        <v>262</v>
      </c>
      <c r="AK436" s="31" t="s">
        <v>259</v>
      </c>
      <c r="AL436" s="31"/>
      <c r="AM436" s="31"/>
      <c r="AN436" s="31"/>
      <c r="AO436" s="31"/>
      <c r="AP436" s="31"/>
      <c r="AQ436" s="31"/>
      <c r="AR436" s="31"/>
      <c r="AS436" s="30">
        <v>55</v>
      </c>
      <c r="AT436" s="37"/>
      <c r="AU436" s="37"/>
      <c r="AV436" s="37"/>
      <c r="AW436" s="37"/>
      <c r="AX436" s="37"/>
      <c r="AY436" s="38"/>
      <c r="AZ436" s="38"/>
      <c r="BA436" s="38"/>
      <c r="BB436" s="46"/>
      <c r="BC436" s="37"/>
      <c r="BD436" s="37"/>
      <c r="BE436" s="5"/>
      <c r="BF436" s="5"/>
      <c r="BG436" s="31" t="s">
        <v>3501</v>
      </c>
      <c r="BH436" s="31"/>
      <c r="BI436" s="31" t="s">
        <v>3501</v>
      </c>
      <c r="BJ436" s="48"/>
      <c r="BK436" s="49">
        <v>1</v>
      </c>
    </row>
    <row x14ac:dyDescent="0.25" r="437" customHeight="1" ht="31.5">
      <c r="A437" s="30" t="s">
        <v>3502</v>
      </c>
      <c r="B437" s="5" t="s">
        <v>3503</v>
      </c>
      <c r="C437" s="31" t="s">
        <v>3504</v>
      </c>
      <c r="D437" s="31" t="s">
        <v>3505</v>
      </c>
      <c r="E437" s="5"/>
      <c r="F437" s="5" t="s">
        <v>226</v>
      </c>
      <c r="G437" s="5" t="s">
        <v>1329</v>
      </c>
      <c r="H437" s="31" t="s">
        <v>3506</v>
      </c>
      <c r="I437" s="32"/>
      <c r="J437" s="32"/>
      <c r="K437" s="5"/>
      <c r="L437" s="5"/>
      <c r="M437" s="5" t="s">
        <v>231</v>
      </c>
      <c r="N437" s="5" t="s">
        <v>250</v>
      </c>
      <c r="O437" s="33"/>
      <c r="P437" s="5"/>
      <c r="Q437" s="1" t="s">
        <v>251</v>
      </c>
      <c r="R437" s="31" t="s">
        <v>252</v>
      </c>
      <c r="S437" s="31"/>
      <c r="T437" s="31" t="s">
        <v>3507</v>
      </c>
      <c r="U437" s="31" t="s">
        <v>3508</v>
      </c>
      <c r="V437" s="5"/>
      <c r="W437" s="40">
        <v>1</v>
      </c>
      <c r="X437" s="31" t="s">
        <v>1848</v>
      </c>
      <c r="Y437" s="42" t="s">
        <v>256</v>
      </c>
      <c r="Z437" s="35">
        <v>0</v>
      </c>
      <c r="AA437" s="31" t="s">
        <v>3505</v>
      </c>
      <c r="AB437" s="31" t="s">
        <v>3509</v>
      </c>
      <c r="AC437" s="5" t="s">
        <v>64</v>
      </c>
      <c r="AD437" s="5" t="s">
        <v>259</v>
      </c>
      <c r="AE437" s="36" t="s">
        <v>3500</v>
      </c>
      <c r="AF437" s="31" t="s">
        <v>3510</v>
      </c>
      <c r="AG437" s="31"/>
      <c r="AH437" s="31"/>
      <c r="AI437" s="31" t="s">
        <v>1863</v>
      </c>
      <c r="AJ437" s="31" t="s">
        <v>262</v>
      </c>
      <c r="AK437" s="31" t="s">
        <v>259</v>
      </c>
      <c r="AL437" s="31"/>
      <c r="AM437" s="31"/>
      <c r="AN437" s="31"/>
      <c r="AO437" s="31"/>
      <c r="AP437" s="31"/>
      <c r="AQ437" s="31"/>
      <c r="AR437" s="31"/>
      <c r="AS437" s="30">
        <v>56</v>
      </c>
      <c r="AT437" s="37"/>
      <c r="AU437" s="37"/>
      <c r="AV437" s="37"/>
      <c r="AW437" s="37"/>
      <c r="AX437" s="37"/>
      <c r="AY437" s="38"/>
      <c r="AZ437" s="38"/>
      <c r="BA437" s="38"/>
      <c r="BB437" s="46"/>
      <c r="BC437" s="37"/>
      <c r="BD437" s="37"/>
      <c r="BE437" s="5"/>
      <c r="BF437" s="5"/>
      <c r="BG437" s="47" t="s">
        <v>3511</v>
      </c>
      <c r="BH437" s="47"/>
      <c r="BI437" s="31" t="s">
        <v>3511</v>
      </c>
      <c r="BJ437" s="48"/>
      <c r="BK437" s="49">
        <v>1</v>
      </c>
    </row>
    <row x14ac:dyDescent="0.25" r="438" customHeight="1" ht="31.5">
      <c r="A438" s="30" t="s">
        <v>3512</v>
      </c>
      <c r="B438" s="5" t="s">
        <v>3513</v>
      </c>
      <c r="C438" s="31" t="s">
        <v>3514</v>
      </c>
      <c r="D438" s="31" t="s">
        <v>3515</v>
      </c>
      <c r="E438" s="5"/>
      <c r="F438" s="5" t="s">
        <v>226</v>
      </c>
      <c r="G438" s="5" t="s">
        <v>1329</v>
      </c>
      <c r="H438" s="31" t="s">
        <v>3516</v>
      </c>
      <c r="I438" s="32"/>
      <c r="J438" s="32"/>
      <c r="K438" s="5"/>
      <c r="L438" s="5"/>
      <c r="M438" s="5" t="s">
        <v>231</v>
      </c>
      <c r="N438" s="5" t="s">
        <v>250</v>
      </c>
      <c r="O438" s="33"/>
      <c r="P438" s="5"/>
      <c r="Q438" s="1" t="s">
        <v>251</v>
      </c>
      <c r="R438" s="31" t="s">
        <v>252</v>
      </c>
      <c r="S438" s="31"/>
      <c r="T438" s="31" t="s">
        <v>3517</v>
      </c>
      <c r="U438" s="31" t="s">
        <v>3518</v>
      </c>
      <c r="V438" s="5"/>
      <c r="W438" s="40">
        <v>1</v>
      </c>
      <c r="X438" s="31" t="s">
        <v>1848</v>
      </c>
      <c r="Y438" s="42" t="s">
        <v>256</v>
      </c>
      <c r="Z438" s="35">
        <v>0</v>
      </c>
      <c r="AA438" s="31" t="s">
        <v>3519</v>
      </c>
      <c r="AB438" s="31" t="s">
        <v>3520</v>
      </c>
      <c r="AC438" s="5" t="s">
        <v>52</v>
      </c>
      <c r="AD438" s="5" t="s">
        <v>259</v>
      </c>
      <c r="AE438" s="36" t="s">
        <v>3500</v>
      </c>
      <c r="AF438" s="31" t="s">
        <v>3521</v>
      </c>
      <c r="AG438" s="31"/>
      <c r="AH438" s="31"/>
      <c r="AI438" s="31" t="s">
        <v>1863</v>
      </c>
      <c r="AJ438" s="31" t="s">
        <v>262</v>
      </c>
      <c r="AK438" s="31" t="s">
        <v>259</v>
      </c>
      <c r="AL438" s="31"/>
      <c r="AM438" s="31"/>
      <c r="AN438" s="31"/>
      <c r="AO438" s="31"/>
      <c r="AP438" s="31"/>
      <c r="AQ438" s="31"/>
      <c r="AR438" s="31"/>
      <c r="AS438" s="30">
        <v>57</v>
      </c>
      <c r="AT438" s="37"/>
      <c r="AU438" s="37"/>
      <c r="AV438" s="37"/>
      <c r="AW438" s="37"/>
      <c r="AX438" s="37"/>
      <c r="AY438" s="38"/>
      <c r="AZ438" s="38"/>
      <c r="BA438" s="38"/>
      <c r="BB438" s="46"/>
      <c r="BC438" s="37"/>
      <c r="BD438" s="37"/>
      <c r="BE438" s="5"/>
      <c r="BF438" s="5"/>
      <c r="BG438" s="31" t="s">
        <v>3522</v>
      </c>
      <c r="BH438" s="31"/>
      <c r="BI438" s="31" t="s">
        <v>3522</v>
      </c>
      <c r="BJ438" s="48"/>
      <c r="BK438" s="49">
        <v>1</v>
      </c>
    </row>
    <row x14ac:dyDescent="0.25" r="439" customHeight="1" ht="31.5">
      <c r="A439" s="30">
        <v>10069</v>
      </c>
      <c r="B439" s="5" t="s">
        <v>3523</v>
      </c>
      <c r="C439" s="31" t="s">
        <v>3524</v>
      </c>
      <c r="D439" s="31" t="s">
        <v>3525</v>
      </c>
      <c r="E439" s="5"/>
      <c r="F439" s="5" t="s">
        <v>637</v>
      </c>
      <c r="G439" s="31" t="s">
        <v>1329</v>
      </c>
      <c r="H439" s="31" t="s">
        <v>3526</v>
      </c>
      <c r="I439" s="32"/>
      <c r="J439" s="32"/>
      <c r="K439" s="5"/>
      <c r="L439" s="5"/>
      <c r="M439" s="5" t="s">
        <v>231</v>
      </c>
      <c r="N439" s="5" t="s">
        <v>250</v>
      </c>
      <c r="O439" s="33"/>
      <c r="P439" s="5"/>
      <c r="Q439" s="1" t="s">
        <v>251</v>
      </c>
      <c r="R439" s="31" t="s">
        <v>286</v>
      </c>
      <c r="S439" s="31"/>
      <c r="T439" s="31"/>
      <c r="U439" s="31" t="s">
        <v>3524</v>
      </c>
      <c r="V439" s="5"/>
      <c r="W439" s="40">
        <v>1</v>
      </c>
      <c r="X439" s="41" t="s">
        <v>374</v>
      </c>
      <c r="Y439" s="42" t="s">
        <v>288</v>
      </c>
      <c r="Z439" s="35">
        <v>0</v>
      </c>
      <c r="AA439" s="31" t="s">
        <v>3527</v>
      </c>
      <c r="AB439" s="31" t="s">
        <v>3528</v>
      </c>
      <c r="AC439" s="5" t="s">
        <v>24</v>
      </c>
      <c r="AD439" s="5" t="s">
        <v>259</v>
      </c>
      <c r="AE439" s="36" t="s">
        <v>1660</v>
      </c>
      <c r="AF439" s="31" t="s">
        <v>3528</v>
      </c>
      <c r="AG439" s="31"/>
      <c r="AH439" s="31"/>
      <c r="AI439" s="31" t="s">
        <v>1335</v>
      </c>
      <c r="AJ439" s="31" t="s">
        <v>262</v>
      </c>
      <c r="AK439" s="31" t="s">
        <v>259</v>
      </c>
      <c r="AL439" s="31"/>
      <c r="AM439" s="31"/>
      <c r="AN439" s="31"/>
      <c r="AO439" s="31"/>
      <c r="AP439" s="31"/>
      <c r="AQ439" s="31"/>
      <c r="AR439" s="31"/>
      <c r="AS439" s="30">
        <v>58</v>
      </c>
      <c r="AT439" s="37"/>
      <c r="AU439" s="37"/>
      <c r="AV439" s="37"/>
      <c r="AW439" s="37"/>
      <c r="AX439" s="37"/>
      <c r="AY439" s="38"/>
      <c r="AZ439" s="38"/>
      <c r="BA439" s="38"/>
      <c r="BB439" s="46"/>
      <c r="BC439" s="37"/>
      <c r="BD439" s="37"/>
      <c r="BE439" s="5"/>
      <c r="BF439" s="5"/>
      <c r="BG439" s="52" t="s">
        <v>3524</v>
      </c>
      <c r="BH439" s="31"/>
      <c r="BI439" s="52" t="s">
        <v>3524</v>
      </c>
      <c r="BJ439" s="48"/>
      <c r="BK439" s="49">
        <v>1</v>
      </c>
    </row>
    <row x14ac:dyDescent="0.25" r="440" customHeight="1" ht="31.5">
      <c r="A440" s="30">
        <v>10070</v>
      </c>
      <c r="B440" s="5" t="s">
        <v>3529</v>
      </c>
      <c r="C440" s="31" t="s">
        <v>3530</v>
      </c>
      <c r="D440" s="31" t="s">
        <v>3531</v>
      </c>
      <c r="E440" s="5"/>
      <c r="F440" s="5" t="s">
        <v>282</v>
      </c>
      <c r="G440" s="31" t="s">
        <v>1329</v>
      </c>
      <c r="H440" s="31" t="s">
        <v>3532</v>
      </c>
      <c r="I440" s="32"/>
      <c r="J440" s="32"/>
      <c r="K440" s="5"/>
      <c r="L440" s="5"/>
      <c r="M440" s="5" t="s">
        <v>231</v>
      </c>
      <c r="N440" s="5" t="s">
        <v>250</v>
      </c>
      <c r="O440" s="33"/>
      <c r="P440" s="5"/>
      <c r="Q440" s="1" t="s">
        <v>251</v>
      </c>
      <c r="R440" s="31" t="s">
        <v>252</v>
      </c>
      <c r="S440" s="31"/>
      <c r="T440" s="31"/>
      <c r="U440" s="31" t="s">
        <v>3533</v>
      </c>
      <c r="V440" s="5"/>
      <c r="W440" s="40">
        <v>1</v>
      </c>
      <c r="X440" s="41" t="s">
        <v>374</v>
      </c>
      <c r="Y440" s="42" t="s">
        <v>288</v>
      </c>
      <c r="Z440" s="35">
        <v>0</v>
      </c>
      <c r="AA440" s="31" t="s">
        <v>3534</v>
      </c>
      <c r="AB440" s="31" t="s">
        <v>3535</v>
      </c>
      <c r="AC440" s="5" t="s">
        <v>64</v>
      </c>
      <c r="AD440" s="5" t="s">
        <v>259</v>
      </c>
      <c r="AE440" s="36" t="s">
        <v>1660</v>
      </c>
      <c r="AF440" s="31" t="s">
        <v>3535</v>
      </c>
      <c r="AG440" s="31"/>
      <c r="AH440" s="31"/>
      <c r="AI440" s="31" t="s">
        <v>1335</v>
      </c>
      <c r="AJ440" s="31" t="s">
        <v>262</v>
      </c>
      <c r="AK440" s="31" t="s">
        <v>259</v>
      </c>
      <c r="AL440" s="31"/>
      <c r="AM440" s="31"/>
      <c r="AN440" s="31"/>
      <c r="AO440" s="31"/>
      <c r="AP440" s="31"/>
      <c r="AQ440" s="31"/>
      <c r="AR440" s="31"/>
      <c r="AS440" s="30">
        <v>59</v>
      </c>
      <c r="AT440" s="37"/>
      <c r="AU440" s="37"/>
      <c r="AV440" s="37"/>
      <c r="AW440" s="37"/>
      <c r="AX440" s="37"/>
      <c r="AY440" s="38"/>
      <c r="AZ440" s="38"/>
      <c r="BA440" s="38"/>
      <c r="BB440" s="46"/>
      <c r="BC440" s="37"/>
      <c r="BD440" s="37"/>
      <c r="BE440" s="5"/>
      <c r="BF440" s="5"/>
      <c r="BG440" s="52" t="s">
        <v>3536</v>
      </c>
      <c r="BH440" s="31"/>
      <c r="BI440" s="52" t="s">
        <v>3536</v>
      </c>
      <c r="BJ440" s="48"/>
      <c r="BK440" s="49">
        <v>1</v>
      </c>
    </row>
    <row x14ac:dyDescent="0.25" r="441" customHeight="1" ht="31.5">
      <c r="A441" s="30">
        <v>10071</v>
      </c>
      <c r="B441" s="5" t="s">
        <v>3537</v>
      </c>
      <c r="C441" s="31" t="s">
        <v>3538</v>
      </c>
      <c r="D441" s="31" t="s">
        <v>3539</v>
      </c>
      <c r="E441" s="5"/>
      <c r="F441" s="5" t="s">
        <v>282</v>
      </c>
      <c r="G441" s="31" t="s">
        <v>1329</v>
      </c>
      <c r="H441" s="31" t="s">
        <v>3540</v>
      </c>
      <c r="I441" s="32"/>
      <c r="J441" s="32"/>
      <c r="K441" s="5"/>
      <c r="L441" s="5"/>
      <c r="M441" s="5" t="s">
        <v>231</v>
      </c>
      <c r="N441" s="5" t="s">
        <v>250</v>
      </c>
      <c r="O441" s="33"/>
      <c r="P441" s="5"/>
      <c r="Q441" s="1" t="s">
        <v>251</v>
      </c>
      <c r="R441" s="31" t="s">
        <v>252</v>
      </c>
      <c r="S441" s="31"/>
      <c r="T441" s="31" t="s">
        <v>3541</v>
      </c>
      <c r="U441" s="31" t="s">
        <v>3542</v>
      </c>
      <c r="V441" s="5"/>
      <c r="W441" s="40">
        <v>1</v>
      </c>
      <c r="X441" s="41" t="s">
        <v>374</v>
      </c>
      <c r="Y441" s="42" t="s">
        <v>288</v>
      </c>
      <c r="Z441" s="35">
        <v>0</v>
      </c>
      <c r="AA441" s="31" t="s">
        <v>3543</v>
      </c>
      <c r="AB441" s="31" t="s">
        <v>3544</v>
      </c>
      <c r="AC441" s="5" t="s">
        <v>64</v>
      </c>
      <c r="AD441" s="5" t="s">
        <v>259</v>
      </c>
      <c r="AE441" s="36" t="s">
        <v>1660</v>
      </c>
      <c r="AF441" s="31" t="s">
        <v>3544</v>
      </c>
      <c r="AG441" s="31"/>
      <c r="AH441" s="31"/>
      <c r="AI441" s="31" t="s">
        <v>1335</v>
      </c>
      <c r="AJ441" s="31" t="s">
        <v>262</v>
      </c>
      <c r="AK441" s="31" t="s">
        <v>259</v>
      </c>
      <c r="AL441" s="145"/>
      <c r="AM441" s="145"/>
      <c r="AN441" s="145"/>
      <c r="AO441" s="145"/>
      <c r="AP441" s="145"/>
      <c r="AQ441" s="145"/>
      <c r="AR441" s="145"/>
      <c r="AS441" s="30">
        <v>60</v>
      </c>
      <c r="AT441" s="37"/>
      <c r="AU441" s="37"/>
      <c r="AV441" s="37"/>
      <c r="AW441" s="37"/>
      <c r="AX441" s="37"/>
      <c r="AY441" s="38"/>
      <c r="AZ441" s="38"/>
      <c r="BA441" s="38"/>
      <c r="BB441" s="46"/>
      <c r="BC441" s="37"/>
      <c r="BD441" s="37"/>
      <c r="BE441" s="5"/>
      <c r="BF441" s="5"/>
      <c r="BG441" s="52" t="s">
        <v>3545</v>
      </c>
      <c r="BH441" s="31"/>
      <c r="BI441" s="52" t="s">
        <v>3545</v>
      </c>
      <c r="BJ441" s="48"/>
      <c r="BK441" s="49">
        <v>1</v>
      </c>
    </row>
    <row x14ac:dyDescent="0.25" r="442" customHeight="1" ht="75">
      <c r="A442" s="105">
        <v>12004</v>
      </c>
      <c r="B442" s="106" t="s">
        <v>3546</v>
      </c>
      <c r="C442" s="107" t="s">
        <v>3547</v>
      </c>
      <c r="D442" s="107" t="s">
        <v>3548</v>
      </c>
      <c r="E442" s="106"/>
      <c r="F442" s="106" t="s">
        <v>226</v>
      </c>
      <c r="G442" s="106" t="s">
        <v>1329</v>
      </c>
      <c r="H442" s="107" t="s">
        <v>3549</v>
      </c>
      <c r="I442" s="271"/>
      <c r="J442" s="271"/>
      <c r="K442" s="106"/>
      <c r="L442" s="106"/>
      <c r="M442" s="106" t="s">
        <v>231</v>
      </c>
      <c r="N442" s="106" t="s">
        <v>232</v>
      </c>
      <c r="O442" s="272"/>
      <c r="P442" s="106"/>
      <c r="Q442" s="109" t="s">
        <v>233</v>
      </c>
      <c r="R442" s="107"/>
      <c r="S442" s="107"/>
      <c r="T442" s="107" t="s">
        <v>3550</v>
      </c>
      <c r="U442" s="107" t="s">
        <v>3547</v>
      </c>
      <c r="V442" s="106"/>
      <c r="W442" s="110">
        <v>0</v>
      </c>
      <c r="X442" s="107" t="s">
        <v>273</v>
      </c>
      <c r="Y442" s="106" t="s">
        <v>256</v>
      </c>
      <c r="Z442" s="111">
        <v>0</v>
      </c>
      <c r="AA442" s="107" t="s">
        <v>3551</v>
      </c>
      <c r="AB442" s="107" t="s">
        <v>1931</v>
      </c>
      <c r="AC442" s="106" t="s">
        <v>52</v>
      </c>
      <c r="AD442" s="107" t="s">
        <v>238</v>
      </c>
      <c r="AE442" s="112" t="s">
        <v>1007</v>
      </c>
      <c r="AF442" s="107" t="s">
        <v>1931</v>
      </c>
      <c r="AG442" s="107"/>
      <c r="AH442" s="107"/>
      <c r="AI442" s="107"/>
      <c r="AJ442" s="107" t="s">
        <v>241</v>
      </c>
      <c r="AK442" s="107" t="s">
        <v>238</v>
      </c>
      <c r="AL442" s="107"/>
      <c r="AM442" s="107"/>
      <c r="AN442" s="107"/>
      <c r="AO442" s="107"/>
      <c r="AP442" s="107"/>
      <c r="AQ442" s="107"/>
      <c r="AR442" s="107"/>
      <c r="AS442" s="105">
        <v>71</v>
      </c>
      <c r="AT442" s="113"/>
      <c r="AU442" s="113"/>
      <c r="AV442" s="113"/>
      <c r="AW442" s="113"/>
      <c r="AX442" s="113"/>
      <c r="AY442" s="114"/>
      <c r="AZ442" s="114"/>
      <c r="BA442" s="114"/>
      <c r="BB442" s="46"/>
      <c r="BC442" s="113"/>
      <c r="BD442" s="113"/>
      <c r="BE442" s="5"/>
      <c r="BF442" s="106"/>
      <c r="BG442" s="107"/>
      <c r="BH442" s="107"/>
      <c r="BI442" s="107"/>
      <c r="BJ442" s="48"/>
      <c r="BK442" s="49"/>
    </row>
    <row x14ac:dyDescent="0.25" r="443" customHeight="1" ht="50.25">
      <c r="A443" s="30" t="s">
        <v>3552</v>
      </c>
      <c r="B443" s="5" t="s">
        <v>3553</v>
      </c>
      <c r="C443" s="31" t="s">
        <v>3554</v>
      </c>
      <c r="D443" s="52" t="s">
        <v>3555</v>
      </c>
      <c r="E443" s="5"/>
      <c r="F443" s="92" t="s">
        <v>577</v>
      </c>
      <c r="G443" s="92" t="s">
        <v>1329</v>
      </c>
      <c r="H443" s="52" t="s">
        <v>3556</v>
      </c>
      <c r="I443" s="32"/>
      <c r="J443" s="32"/>
      <c r="K443" s="5"/>
      <c r="L443" s="5"/>
      <c r="M443" s="5" t="s">
        <v>231</v>
      </c>
      <c r="N443" s="5" t="s">
        <v>232</v>
      </c>
      <c r="O443" s="33"/>
      <c r="P443" s="5"/>
      <c r="Q443" s="1" t="s">
        <v>233</v>
      </c>
      <c r="R443" s="31"/>
      <c r="S443" s="31"/>
      <c r="T443" s="31"/>
      <c r="U443" s="31" t="s">
        <v>3557</v>
      </c>
      <c r="V443" s="5"/>
      <c r="W443" s="34">
        <v>1</v>
      </c>
      <c r="X443" s="31" t="s">
        <v>273</v>
      </c>
      <c r="Y443" s="5"/>
      <c r="Z443" s="35">
        <v>0</v>
      </c>
      <c r="AA443" s="52" t="s">
        <v>3558</v>
      </c>
      <c r="AB443" s="52" t="s">
        <v>3022</v>
      </c>
      <c r="AC443" s="5" t="s">
        <v>52</v>
      </c>
      <c r="AD443" s="31" t="s">
        <v>238</v>
      </c>
      <c r="AE443" s="36" t="s">
        <v>1926</v>
      </c>
      <c r="AF443" s="31" t="s">
        <v>1926</v>
      </c>
      <c r="AG443" s="31"/>
      <c r="AH443" s="31" t="s">
        <v>27</v>
      </c>
      <c r="AI443" s="31"/>
      <c r="AJ443" s="31" t="s">
        <v>241</v>
      </c>
      <c r="AK443" s="31" t="s">
        <v>238</v>
      </c>
      <c r="AL443" s="31"/>
      <c r="AM443" s="31"/>
      <c r="AN443" s="31"/>
      <c r="AO443" s="31"/>
      <c r="AP443" s="31"/>
      <c r="AQ443" s="31"/>
      <c r="AR443" s="31"/>
      <c r="AS443" s="30"/>
      <c r="AT443" s="37"/>
      <c r="AU443" s="37"/>
      <c r="AV443" s="37"/>
      <c r="AW443" s="37"/>
      <c r="AX443" s="37"/>
      <c r="AY443" s="38"/>
      <c r="AZ443" s="38"/>
      <c r="BA443" s="38"/>
      <c r="BB443" s="46"/>
      <c r="BC443" s="37"/>
      <c r="BD443" s="37"/>
      <c r="BE443" s="5"/>
      <c r="BF443" s="5"/>
      <c r="BG443" s="269" t="s">
        <v>3559</v>
      </c>
      <c r="BH443" s="47"/>
      <c r="BI443" s="52" t="s">
        <v>3559</v>
      </c>
      <c r="BJ443" s="48"/>
      <c r="BK443" s="49">
        <v>3</v>
      </c>
    </row>
    <row x14ac:dyDescent="0.25" r="444" customHeight="1" ht="31.5">
      <c r="A444" s="30">
        <v>12002</v>
      </c>
      <c r="B444" s="5" t="s">
        <v>3372</v>
      </c>
      <c r="C444" s="31" t="s">
        <v>3560</v>
      </c>
      <c r="D444" s="52" t="s">
        <v>1908</v>
      </c>
      <c r="E444" s="5"/>
      <c r="F444" s="92" t="s">
        <v>577</v>
      </c>
      <c r="G444" s="92" t="s">
        <v>1329</v>
      </c>
      <c r="H444" s="52" t="s">
        <v>3561</v>
      </c>
      <c r="I444" s="32"/>
      <c r="J444" s="32"/>
      <c r="K444" s="5"/>
      <c r="L444" s="5"/>
      <c r="M444" s="5" t="s">
        <v>231</v>
      </c>
      <c r="N444" s="5" t="s">
        <v>232</v>
      </c>
      <c r="O444" s="33"/>
      <c r="P444" s="5"/>
      <c r="Q444" s="1" t="s">
        <v>233</v>
      </c>
      <c r="R444" s="31"/>
      <c r="S444" s="31"/>
      <c r="T444" s="31"/>
      <c r="U444" s="31" t="s">
        <v>3562</v>
      </c>
      <c r="V444" s="5"/>
      <c r="W444" s="34">
        <v>1</v>
      </c>
      <c r="X444" s="31" t="s">
        <v>273</v>
      </c>
      <c r="Y444" s="5" t="s">
        <v>3563</v>
      </c>
      <c r="Z444" s="35">
        <v>0</v>
      </c>
      <c r="AA444" s="52" t="s">
        <v>3564</v>
      </c>
      <c r="AB444" s="52" t="s">
        <v>1915</v>
      </c>
      <c r="AC444" s="5" t="s">
        <v>52</v>
      </c>
      <c r="AD444" s="31" t="s">
        <v>238</v>
      </c>
      <c r="AE444" s="36" t="s">
        <v>1926</v>
      </c>
      <c r="AF444" s="31" t="s">
        <v>3565</v>
      </c>
      <c r="AG444" s="31"/>
      <c r="AH444" s="31"/>
      <c r="AI444" s="31"/>
      <c r="AJ444" s="31" t="s">
        <v>241</v>
      </c>
      <c r="AK444" s="31" t="s">
        <v>238</v>
      </c>
      <c r="AL444" s="31"/>
      <c r="AM444" s="31"/>
      <c r="AN444" s="31"/>
      <c r="AO444" s="31"/>
      <c r="AP444" s="31"/>
      <c r="AQ444" s="31"/>
      <c r="AR444" s="31"/>
      <c r="AS444" s="30"/>
      <c r="AT444" s="37"/>
      <c r="AU444" s="37"/>
      <c r="AV444" s="37"/>
      <c r="AW444" s="37"/>
      <c r="AX444" s="37"/>
      <c r="AY444" s="38"/>
      <c r="AZ444" s="38"/>
      <c r="BA444" s="38"/>
      <c r="BB444" s="46"/>
      <c r="BC444" s="37"/>
      <c r="BD444" s="37"/>
      <c r="BE444" s="5"/>
      <c r="BF444" s="5"/>
      <c r="BG444" s="52" t="s">
        <v>1917</v>
      </c>
      <c r="BH444" s="31"/>
      <c r="BI444" s="52" t="s">
        <v>1917</v>
      </c>
      <c r="BJ444" s="48"/>
      <c r="BK444" s="49">
        <v>3</v>
      </c>
    </row>
    <row x14ac:dyDescent="0.25" r="445" customHeight="1" ht="31.5">
      <c r="A445" s="30">
        <v>10028</v>
      </c>
      <c r="B445" s="5" t="s">
        <v>3566</v>
      </c>
      <c r="C445" s="31" t="s">
        <v>3567</v>
      </c>
      <c r="D445" s="31" t="s">
        <v>3568</v>
      </c>
      <c r="E445" s="5"/>
      <c r="F445" s="5" t="s">
        <v>577</v>
      </c>
      <c r="G445" s="5" t="s">
        <v>578</v>
      </c>
      <c r="H445" s="31"/>
      <c r="I445" s="32"/>
      <c r="J445" s="32"/>
      <c r="K445" s="5"/>
      <c r="L445" s="5"/>
      <c r="M445" s="5" t="s">
        <v>231</v>
      </c>
      <c r="N445" s="5" t="s">
        <v>579</v>
      </c>
      <c r="O445" s="33"/>
      <c r="P445" s="5"/>
      <c r="Q445" s="1" t="s">
        <v>233</v>
      </c>
      <c r="R445" s="31" t="s">
        <v>233</v>
      </c>
      <c r="S445" s="31"/>
      <c r="T445" s="31"/>
      <c r="U445" s="31" t="s">
        <v>3569</v>
      </c>
      <c r="V445" s="5"/>
      <c r="W445" s="40">
        <v>0</v>
      </c>
      <c r="X445" s="31" t="s">
        <v>386</v>
      </c>
      <c r="Y445" s="42"/>
      <c r="Z445" s="35">
        <v>0</v>
      </c>
      <c r="AA445" s="31" t="s">
        <v>386</v>
      </c>
      <c r="AB445" s="55" t="s">
        <v>529</v>
      </c>
      <c r="AC445" s="5" t="s">
        <v>24</v>
      </c>
      <c r="AD445" s="31" t="s">
        <v>259</v>
      </c>
      <c r="AE445" s="36" t="s">
        <v>259</v>
      </c>
      <c r="AF445" s="31" t="s">
        <v>3191</v>
      </c>
      <c r="AG445" s="31"/>
      <c r="AH445" s="31"/>
      <c r="AI445" s="31"/>
      <c r="AJ445" s="31"/>
      <c r="AK445" s="31"/>
      <c r="AL445" s="31"/>
      <c r="AM445" s="31"/>
      <c r="AN445" s="31"/>
      <c r="AO445" s="31"/>
      <c r="AP445" s="31"/>
      <c r="AQ445" s="31"/>
      <c r="AR445" s="31" t="s">
        <v>3570</v>
      </c>
      <c r="AS445" s="30"/>
      <c r="AT445" s="273"/>
      <c r="AU445" s="273"/>
      <c r="AV445" s="273"/>
      <c r="AW445" s="273"/>
      <c r="AX445" s="273"/>
      <c r="AY445" s="273"/>
      <c r="AZ445" s="273"/>
      <c r="BA445" s="273"/>
      <c r="BB445" s="46"/>
      <c r="BC445" s="37"/>
      <c r="BD445" s="37"/>
      <c r="BE445" s="5"/>
      <c r="BF445" s="5"/>
      <c r="BG445" s="31" t="s">
        <v>3569</v>
      </c>
      <c r="BH445" s="31"/>
      <c r="BI445" s="31" t="s">
        <v>3569</v>
      </c>
      <c r="BJ445" s="48"/>
      <c r="BK445" s="49">
        <v>3</v>
      </c>
    </row>
    <row x14ac:dyDescent="0.25" r="446" customHeight="1" ht="31.5">
      <c r="A446" s="30" t="s">
        <v>387</v>
      </c>
      <c r="B446" s="5" t="s">
        <v>3571</v>
      </c>
      <c r="C446" s="31" t="s">
        <v>3572</v>
      </c>
      <c r="D446" s="31" t="s">
        <v>3573</v>
      </c>
      <c r="E446" s="31"/>
      <c r="F446" s="31" t="s">
        <v>602</v>
      </c>
      <c r="G446" s="5" t="s">
        <v>3574</v>
      </c>
      <c r="H446" s="31" t="s">
        <v>386</v>
      </c>
      <c r="I446" s="32"/>
      <c r="J446" s="32"/>
      <c r="K446" s="5"/>
      <c r="L446" s="5"/>
      <c r="M446" s="5" t="s">
        <v>231</v>
      </c>
      <c r="N446" s="5" t="s">
        <v>780</v>
      </c>
      <c r="O446" s="33"/>
      <c r="P446" s="5"/>
      <c r="Q446" s="1" t="s">
        <v>233</v>
      </c>
      <c r="R446" s="31" t="s">
        <v>3575</v>
      </c>
      <c r="S446" s="31"/>
      <c r="T446" s="31"/>
      <c r="U446" s="31" t="s">
        <v>3576</v>
      </c>
      <c r="V446" s="5"/>
      <c r="W446" s="34">
        <v>0</v>
      </c>
      <c r="X446" s="31" t="s">
        <v>386</v>
      </c>
      <c r="Y446" s="5"/>
      <c r="Z446" s="20" t="s">
        <v>386</v>
      </c>
      <c r="AA446" s="31"/>
      <c r="AB446" s="31" t="s">
        <v>3577</v>
      </c>
      <c r="AC446" s="5" t="s">
        <v>88</v>
      </c>
      <c r="AD446" s="31" t="s">
        <v>259</v>
      </c>
      <c r="AE446" s="36" t="s">
        <v>259</v>
      </c>
      <c r="AF446" s="31" t="s">
        <v>3578</v>
      </c>
      <c r="AG446" s="31"/>
      <c r="AH446" s="31"/>
      <c r="AI446" s="31"/>
      <c r="AJ446" s="31"/>
      <c r="AK446" s="31"/>
      <c r="AL446" s="31"/>
      <c r="AM446" s="31"/>
      <c r="AN446" s="31"/>
      <c r="AO446" s="31"/>
      <c r="AP446" s="31"/>
      <c r="AQ446" s="31"/>
      <c r="AR446" s="31"/>
      <c r="AS446" s="30"/>
      <c r="AT446" s="37"/>
      <c r="AU446" s="37"/>
      <c r="AV446" s="37"/>
      <c r="AW446" s="37"/>
      <c r="AX446" s="37"/>
      <c r="AY446" s="38"/>
      <c r="AZ446" s="38"/>
      <c r="BA446" s="38"/>
      <c r="BB446" s="39"/>
      <c r="BC446" s="37"/>
      <c r="BD446" s="37"/>
      <c r="BE446" s="5"/>
      <c r="BF446" s="5"/>
      <c r="BG446" s="31" t="s">
        <v>3579</v>
      </c>
      <c r="BH446" s="31"/>
      <c r="BI446" s="31" t="s">
        <v>3579</v>
      </c>
      <c r="BJ446" s="48"/>
      <c r="BK446" s="49">
        <v>3</v>
      </c>
    </row>
    <row x14ac:dyDescent="0.25" r="447" customHeight="1" ht="31.5">
      <c r="A447" s="30" t="s">
        <v>387</v>
      </c>
      <c r="B447" s="5" t="s">
        <v>3580</v>
      </c>
      <c r="C447" s="31" t="s">
        <v>3581</v>
      </c>
      <c r="D447" s="31" t="s">
        <v>3582</v>
      </c>
      <c r="E447" s="31"/>
      <c r="F447" s="31" t="s">
        <v>3583</v>
      </c>
      <c r="G447" s="31" t="s">
        <v>3574</v>
      </c>
      <c r="H447" s="31" t="s">
        <v>3584</v>
      </c>
      <c r="I447" s="32"/>
      <c r="J447" s="32"/>
      <c r="K447" s="5"/>
      <c r="L447" s="5"/>
      <c r="M447" s="5" t="s">
        <v>231</v>
      </c>
      <c r="N447" s="5" t="s">
        <v>780</v>
      </c>
      <c r="O447" s="33"/>
      <c r="P447" s="5"/>
      <c r="Q447" s="1" t="s">
        <v>3585</v>
      </c>
      <c r="R447" s="31" t="s">
        <v>3586</v>
      </c>
      <c r="S447" s="31"/>
      <c r="T447" s="31"/>
      <c r="U447" s="31" t="s">
        <v>3581</v>
      </c>
      <c r="V447" s="5"/>
      <c r="W447" s="134"/>
      <c r="X447" s="41" t="s">
        <v>594</v>
      </c>
      <c r="Y447" s="42"/>
      <c r="Z447" s="20" t="s">
        <v>1068</v>
      </c>
      <c r="AA447" s="31"/>
      <c r="AB447" s="31" t="s">
        <v>3587</v>
      </c>
      <c r="AC447" s="5" t="s">
        <v>76</v>
      </c>
      <c r="AD447" s="31" t="s">
        <v>596</v>
      </c>
      <c r="AE447" s="36" t="s">
        <v>595</v>
      </c>
      <c r="AF447" s="31" t="s">
        <v>2280</v>
      </c>
      <c r="AG447" s="31"/>
      <c r="AH447" s="31"/>
      <c r="AI447" s="31"/>
      <c r="AJ447" s="31"/>
      <c r="AK447" s="31"/>
      <c r="AL447" s="31"/>
      <c r="AM447" s="31"/>
      <c r="AN447" s="31"/>
      <c r="AO447" s="31"/>
      <c r="AP447" s="31"/>
      <c r="AQ447" s="31"/>
      <c r="AR447" s="31"/>
      <c r="AS447" s="30"/>
      <c r="AT447" s="37"/>
      <c r="AU447" s="37"/>
      <c r="AV447" s="37"/>
      <c r="AW447" s="37"/>
      <c r="AX447" s="37"/>
      <c r="AY447" s="224"/>
      <c r="AZ447" s="38"/>
      <c r="BA447" s="38"/>
      <c r="BB447" s="39"/>
      <c r="BC447" s="37"/>
      <c r="BD447" s="37"/>
      <c r="BE447" s="5"/>
      <c r="BF447" s="5"/>
      <c r="BG447" s="31" t="s">
        <v>3581</v>
      </c>
      <c r="BH447" s="31"/>
      <c r="BI447" s="31" t="s">
        <v>3581</v>
      </c>
      <c r="BJ447" s="48"/>
      <c r="BK447" s="49">
        <v>3</v>
      </c>
    </row>
    <row x14ac:dyDescent="0.25" r="448" customHeight="1" ht="31.5">
      <c r="A448" s="30" t="s">
        <v>896</v>
      </c>
      <c r="B448" s="5" t="s">
        <v>896</v>
      </c>
      <c r="C448" s="130" t="s">
        <v>3588</v>
      </c>
      <c r="D448" s="131" t="s">
        <v>3588</v>
      </c>
      <c r="E448" s="5"/>
      <c r="F448" s="5" t="s">
        <v>577</v>
      </c>
      <c r="G448" s="5" t="s">
        <v>898</v>
      </c>
      <c r="H448" s="31" t="s">
        <v>3589</v>
      </c>
      <c r="I448" s="32" t="s">
        <v>900</v>
      </c>
      <c r="J448" s="32" t="s">
        <v>900</v>
      </c>
      <c r="K448" s="5" t="s">
        <v>386</v>
      </c>
      <c r="L448" s="5" t="s">
        <v>386</v>
      </c>
      <c r="M448" s="5" t="s">
        <v>820</v>
      </c>
      <c r="N448" s="5" t="s">
        <v>386</v>
      </c>
      <c r="O448" s="33" t="s">
        <v>386</v>
      </c>
      <c r="P448" s="5" t="s">
        <v>386</v>
      </c>
      <c r="Q448" s="1" t="s">
        <v>251</v>
      </c>
      <c r="R448" s="31" t="s">
        <v>901</v>
      </c>
      <c r="S448" s="55" t="s">
        <v>3590</v>
      </c>
      <c r="T448" s="31"/>
      <c r="U448" s="130" t="s">
        <v>3591</v>
      </c>
      <c r="V448" s="5"/>
      <c r="W448" s="34">
        <v>2</v>
      </c>
      <c r="X448" s="41" t="s">
        <v>594</v>
      </c>
      <c r="Y448" s="5"/>
      <c r="Z448" s="20"/>
      <c r="AA448" s="31"/>
      <c r="AB448" s="31" t="s">
        <v>3592</v>
      </c>
      <c r="AC448" s="5" t="s">
        <v>38</v>
      </c>
      <c r="AD448" s="31" t="s">
        <v>596</v>
      </c>
      <c r="AE448" s="36" t="s">
        <v>1282</v>
      </c>
      <c r="AF448" s="57" t="s">
        <v>3592</v>
      </c>
      <c r="AG448" s="55"/>
      <c r="AH448" s="31" t="s">
        <v>27</v>
      </c>
      <c r="AI448" s="31"/>
      <c r="AJ448" s="31" t="s">
        <v>605</v>
      </c>
      <c r="AK448" s="31" t="s">
        <v>596</v>
      </c>
      <c r="AL448" s="31" t="s">
        <v>1063</v>
      </c>
      <c r="AM448" s="31"/>
      <c r="AN448" s="31"/>
      <c r="AO448" s="31"/>
      <c r="AP448" s="31"/>
      <c r="AQ448" s="31"/>
      <c r="AR448" s="31"/>
      <c r="AS448" s="30"/>
      <c r="AT448" s="37"/>
      <c r="AU448" s="37"/>
      <c r="AV448" s="37"/>
      <c r="AW448" s="37"/>
      <c r="AX448" s="37"/>
      <c r="AY448" s="38"/>
      <c r="AZ448" s="38"/>
      <c r="BA448" s="38"/>
      <c r="BB448" s="46"/>
      <c r="BC448" s="37"/>
      <c r="BD448" s="37"/>
      <c r="BE448" s="5"/>
      <c r="BF448" s="5"/>
      <c r="BG448" s="130" t="s">
        <v>3593</v>
      </c>
      <c r="BH448" s="31"/>
      <c r="BI448" s="130" t="s">
        <v>3593</v>
      </c>
      <c r="BJ448" s="57"/>
      <c r="BK448" s="229">
        <v>1</v>
      </c>
    </row>
    <row x14ac:dyDescent="0.25" r="449" customHeight="1" ht="31.5">
      <c r="A449" s="30" t="s">
        <v>896</v>
      </c>
      <c r="B449" s="5" t="s">
        <v>896</v>
      </c>
      <c r="C449" s="130" t="s">
        <v>3594</v>
      </c>
      <c r="D449" s="131" t="s">
        <v>3594</v>
      </c>
      <c r="E449" s="5"/>
      <c r="F449" s="5" t="s">
        <v>577</v>
      </c>
      <c r="G449" s="5" t="s">
        <v>898</v>
      </c>
      <c r="H449" s="31" t="s">
        <v>3595</v>
      </c>
      <c r="I449" s="32" t="s">
        <v>900</v>
      </c>
      <c r="J449" s="32" t="s">
        <v>900</v>
      </c>
      <c r="K449" s="5" t="s">
        <v>386</v>
      </c>
      <c r="L449" s="5" t="s">
        <v>386</v>
      </c>
      <c r="M449" s="5" t="s">
        <v>231</v>
      </c>
      <c r="N449" s="5" t="s">
        <v>386</v>
      </c>
      <c r="O449" s="33" t="s">
        <v>386</v>
      </c>
      <c r="P449" s="5" t="s">
        <v>386</v>
      </c>
      <c r="Q449" s="1" t="s">
        <v>251</v>
      </c>
      <c r="R449" s="31" t="s">
        <v>901</v>
      </c>
      <c r="S449" s="55" t="s">
        <v>902</v>
      </c>
      <c r="T449" s="31"/>
      <c r="U449" s="130" t="s">
        <v>3591</v>
      </c>
      <c r="V449" s="5"/>
      <c r="W449" s="34">
        <v>2</v>
      </c>
      <c r="X449" s="41" t="s">
        <v>594</v>
      </c>
      <c r="Y449" s="5"/>
      <c r="Z449" s="20"/>
      <c r="AA449" s="31"/>
      <c r="AB449" s="31" t="s">
        <v>3596</v>
      </c>
      <c r="AC449" s="5" t="s">
        <v>38</v>
      </c>
      <c r="AD449" s="31" t="s">
        <v>596</v>
      </c>
      <c r="AE449" s="36" t="s">
        <v>905</v>
      </c>
      <c r="AF449" s="57" t="s">
        <v>3596</v>
      </c>
      <c r="AG449" s="55"/>
      <c r="AH449" s="31" t="s">
        <v>27</v>
      </c>
      <c r="AI449" s="31"/>
      <c r="AJ449" s="31" t="s">
        <v>605</v>
      </c>
      <c r="AK449" s="31" t="s">
        <v>596</v>
      </c>
      <c r="AL449" s="31"/>
      <c r="AM449" s="31"/>
      <c r="AN449" s="31"/>
      <c r="AO449" s="31"/>
      <c r="AP449" s="31"/>
      <c r="AQ449" s="31"/>
      <c r="AR449" s="31"/>
      <c r="AS449" s="30"/>
      <c r="AT449" s="37"/>
      <c r="AU449" s="37"/>
      <c r="AV449" s="37"/>
      <c r="AW449" s="37"/>
      <c r="AX449" s="37"/>
      <c r="AY449" s="38"/>
      <c r="AZ449" s="38"/>
      <c r="BA449" s="38"/>
      <c r="BB449" s="46"/>
      <c r="BC449" s="37"/>
      <c r="BD449" s="37"/>
      <c r="BE449" s="5"/>
      <c r="BF449" s="5"/>
      <c r="BG449" s="130" t="s">
        <v>3597</v>
      </c>
      <c r="BH449" s="31"/>
      <c r="BI449" s="130" t="s">
        <v>3597</v>
      </c>
      <c r="BJ449" s="57"/>
      <c r="BK449" s="229">
        <v>1</v>
      </c>
    </row>
    <row x14ac:dyDescent="0.25" r="450" customHeight="1" ht="31.5">
      <c r="A450" s="30" t="s">
        <v>896</v>
      </c>
      <c r="B450" s="5" t="s">
        <v>896</v>
      </c>
      <c r="C450" s="130" t="s">
        <v>3598</v>
      </c>
      <c r="D450" s="131" t="s">
        <v>3598</v>
      </c>
      <c r="E450" s="5"/>
      <c r="F450" s="5" t="s">
        <v>226</v>
      </c>
      <c r="G450" s="5" t="s">
        <v>898</v>
      </c>
      <c r="H450" s="31" t="s">
        <v>3599</v>
      </c>
      <c r="I450" s="32" t="s">
        <v>900</v>
      </c>
      <c r="J450" s="32" t="s">
        <v>900</v>
      </c>
      <c r="K450" s="5" t="s">
        <v>386</v>
      </c>
      <c r="L450" s="5" t="s">
        <v>386</v>
      </c>
      <c r="M450" s="5" t="s">
        <v>820</v>
      </c>
      <c r="N450" s="5" t="s">
        <v>386</v>
      </c>
      <c r="O450" s="33" t="s">
        <v>386</v>
      </c>
      <c r="P450" s="5" t="s">
        <v>386</v>
      </c>
      <c r="Q450" s="1" t="s">
        <v>251</v>
      </c>
      <c r="R450" s="31" t="s">
        <v>901</v>
      </c>
      <c r="S450" s="55" t="s">
        <v>3590</v>
      </c>
      <c r="T450" s="31"/>
      <c r="U450" s="130" t="s">
        <v>903</v>
      </c>
      <c r="V450" s="5"/>
      <c r="W450" s="40">
        <v>2</v>
      </c>
      <c r="X450" s="41" t="s">
        <v>594</v>
      </c>
      <c r="Y450" s="42"/>
      <c r="Z450" s="20"/>
      <c r="AA450" s="31"/>
      <c r="AB450" s="31" t="s">
        <v>3600</v>
      </c>
      <c r="AC450" s="5" t="s">
        <v>52</v>
      </c>
      <c r="AD450" s="31" t="s">
        <v>596</v>
      </c>
      <c r="AE450" s="36" t="s">
        <v>1282</v>
      </c>
      <c r="AF450" s="57" t="s">
        <v>3600</v>
      </c>
      <c r="AG450" s="55"/>
      <c r="AH450" s="31"/>
      <c r="AI450" s="31"/>
      <c r="AJ450" s="31" t="s">
        <v>605</v>
      </c>
      <c r="AK450" s="31" t="s">
        <v>596</v>
      </c>
      <c r="AL450" s="31" t="s">
        <v>1063</v>
      </c>
      <c r="AM450" s="31"/>
      <c r="AN450" s="31"/>
      <c r="AO450" s="31"/>
      <c r="AP450" s="31"/>
      <c r="AQ450" s="31"/>
      <c r="AR450" s="31"/>
      <c r="AS450" s="30"/>
      <c r="AT450" s="37"/>
      <c r="AU450" s="37"/>
      <c r="AV450" s="37"/>
      <c r="AW450" s="37"/>
      <c r="AX450" s="37"/>
      <c r="AY450" s="38"/>
      <c r="AZ450" s="38"/>
      <c r="BA450" s="38"/>
      <c r="BB450" s="46"/>
      <c r="BC450" s="37"/>
      <c r="BD450" s="37"/>
      <c r="BE450" s="5"/>
      <c r="BF450" s="5"/>
      <c r="BG450" s="130" t="s">
        <v>3601</v>
      </c>
      <c r="BH450" s="31"/>
      <c r="BI450" s="130" t="s">
        <v>3601</v>
      </c>
      <c r="BJ450" s="57"/>
      <c r="BK450" s="229">
        <v>1</v>
      </c>
    </row>
    <row x14ac:dyDescent="0.25" r="451" customHeight="1" ht="31.5">
      <c r="A451" s="156" t="s">
        <v>3602</v>
      </c>
      <c r="B451" s="226" t="s">
        <v>3602</v>
      </c>
      <c r="C451" s="158" t="s">
        <v>3603</v>
      </c>
      <c r="D451" s="158" t="s">
        <v>3604</v>
      </c>
      <c r="E451" s="157"/>
      <c r="F451" s="157" t="s">
        <v>226</v>
      </c>
      <c r="G451" s="157" t="s">
        <v>1808</v>
      </c>
      <c r="H451" s="158" t="s">
        <v>386</v>
      </c>
      <c r="I451" s="158" t="s">
        <v>900</v>
      </c>
      <c r="J451" s="158" t="s">
        <v>900</v>
      </c>
      <c r="K451" s="157" t="s">
        <v>3605</v>
      </c>
      <c r="L451" s="157" t="s">
        <v>3516</v>
      </c>
      <c r="M451" s="157" t="s">
        <v>231</v>
      </c>
      <c r="N451" s="157" t="s">
        <v>386</v>
      </c>
      <c r="O451" s="160" t="s">
        <v>386</v>
      </c>
      <c r="P451" s="157" t="s">
        <v>386</v>
      </c>
      <c r="Q451" s="161" t="s">
        <v>251</v>
      </c>
      <c r="R451" s="158" t="s">
        <v>3606</v>
      </c>
      <c r="S451" s="158" t="s">
        <v>3607</v>
      </c>
      <c r="T451" s="158"/>
      <c r="U451" s="158" t="s">
        <v>3608</v>
      </c>
      <c r="V451" s="157"/>
      <c r="W451" s="162">
        <v>1</v>
      </c>
      <c r="X451" s="158" t="s">
        <v>1808</v>
      </c>
      <c r="Y451" s="157" t="s">
        <v>256</v>
      </c>
      <c r="Z451" s="163">
        <v>1</v>
      </c>
      <c r="AA451" s="158" t="s">
        <v>3609</v>
      </c>
      <c r="AB451" s="158" t="s">
        <v>3610</v>
      </c>
      <c r="AC451" s="157" t="s">
        <v>52</v>
      </c>
      <c r="AD451" s="158" t="s">
        <v>259</v>
      </c>
      <c r="AE451" s="164" t="s">
        <v>3611</v>
      </c>
      <c r="AF451" s="158" t="s">
        <v>3610</v>
      </c>
      <c r="AG451" s="158"/>
      <c r="AH451" s="158"/>
      <c r="AI451" s="158"/>
      <c r="AJ451" s="158" t="s">
        <v>262</v>
      </c>
      <c r="AK451" s="158" t="s">
        <v>259</v>
      </c>
      <c r="AL451" s="158"/>
      <c r="AM451" s="158"/>
      <c r="AN451" s="158"/>
      <c r="AO451" s="158"/>
      <c r="AP451" s="158"/>
      <c r="AQ451" s="158"/>
      <c r="AR451" s="158" t="s">
        <v>243</v>
      </c>
      <c r="AS451" s="156"/>
      <c r="AT451" s="165"/>
      <c r="AU451" s="165"/>
      <c r="AV451" s="165"/>
      <c r="AW451" s="165"/>
      <c r="AX451" s="165"/>
      <c r="AY451" s="166"/>
      <c r="AZ451" s="166"/>
      <c r="BA451" s="166"/>
      <c r="BB451" s="161"/>
      <c r="BC451" s="165">
        <v>69</v>
      </c>
      <c r="BD451" s="165"/>
      <c r="BE451" s="157"/>
      <c r="BF451" s="157"/>
      <c r="BG451" s="158"/>
      <c r="BH451" s="158" t="s">
        <v>2781</v>
      </c>
      <c r="BI451" s="158" t="s">
        <v>2781</v>
      </c>
      <c r="BJ451" s="158"/>
      <c r="BK451" s="156">
        <v>2</v>
      </c>
    </row>
    <row x14ac:dyDescent="0.25" r="452" customHeight="1" ht="31.5">
      <c r="A452" s="156" t="s">
        <v>3602</v>
      </c>
      <c r="B452" s="226" t="s">
        <v>3602</v>
      </c>
      <c r="C452" s="158" t="s">
        <v>3612</v>
      </c>
      <c r="D452" s="158" t="s">
        <v>3613</v>
      </c>
      <c r="E452" s="157"/>
      <c r="F452" s="157" t="s">
        <v>577</v>
      </c>
      <c r="G452" s="157" t="s">
        <v>1808</v>
      </c>
      <c r="H452" s="158" t="s">
        <v>386</v>
      </c>
      <c r="I452" s="158" t="s">
        <v>900</v>
      </c>
      <c r="J452" s="158" t="s">
        <v>900</v>
      </c>
      <c r="K452" s="157" t="s">
        <v>3614</v>
      </c>
      <c r="L452" s="157" t="s">
        <v>3615</v>
      </c>
      <c r="M452" s="157" t="s">
        <v>231</v>
      </c>
      <c r="N452" s="157" t="s">
        <v>386</v>
      </c>
      <c r="O452" s="160" t="s">
        <v>386</v>
      </c>
      <c r="P452" s="157" t="s">
        <v>386</v>
      </c>
      <c r="Q452" s="161" t="s">
        <v>251</v>
      </c>
      <c r="R452" s="158" t="s">
        <v>3606</v>
      </c>
      <c r="S452" s="158" t="s">
        <v>3607</v>
      </c>
      <c r="T452" s="158"/>
      <c r="U452" s="158" t="s">
        <v>3616</v>
      </c>
      <c r="V452" s="157"/>
      <c r="W452" s="162">
        <v>1</v>
      </c>
      <c r="X452" s="158" t="s">
        <v>1808</v>
      </c>
      <c r="Y452" s="157"/>
      <c r="Z452" s="163">
        <v>1</v>
      </c>
      <c r="AA452" s="158" t="s">
        <v>3617</v>
      </c>
      <c r="AB452" s="158" t="s">
        <v>3618</v>
      </c>
      <c r="AC452" s="157" t="s">
        <v>38</v>
      </c>
      <c r="AD452" s="158" t="s">
        <v>259</v>
      </c>
      <c r="AE452" s="164" t="s">
        <v>3611</v>
      </c>
      <c r="AF452" s="158" t="s">
        <v>3618</v>
      </c>
      <c r="AG452" s="158"/>
      <c r="AH452" s="158"/>
      <c r="AI452" s="158"/>
      <c r="AJ452" s="158" t="s">
        <v>262</v>
      </c>
      <c r="AK452" s="158" t="s">
        <v>259</v>
      </c>
      <c r="AL452" s="158"/>
      <c r="AM452" s="158"/>
      <c r="AN452" s="158"/>
      <c r="AO452" s="158"/>
      <c r="AP452" s="158"/>
      <c r="AQ452" s="158"/>
      <c r="AR452" s="158" t="s">
        <v>243</v>
      </c>
      <c r="AS452" s="156"/>
      <c r="AT452" s="165"/>
      <c r="AU452" s="165"/>
      <c r="AV452" s="165"/>
      <c r="AW452" s="165"/>
      <c r="AX452" s="165"/>
      <c r="AY452" s="166"/>
      <c r="AZ452" s="166"/>
      <c r="BA452" s="166"/>
      <c r="BB452" s="161"/>
      <c r="BC452" s="165">
        <v>70</v>
      </c>
      <c r="BD452" s="165"/>
      <c r="BE452" s="157"/>
      <c r="BF452" s="157"/>
      <c r="BG452" s="158"/>
      <c r="BH452" s="158" t="s">
        <v>3616</v>
      </c>
      <c r="BI452" s="158" t="s">
        <v>3616</v>
      </c>
      <c r="BJ452" s="158"/>
      <c r="BK452" s="156">
        <v>2</v>
      </c>
    </row>
    <row x14ac:dyDescent="0.25" r="453" customHeight="1" ht="31.5">
      <c r="A453" s="30" t="s">
        <v>896</v>
      </c>
      <c r="B453" s="5" t="s">
        <v>896</v>
      </c>
      <c r="C453" s="31" t="s">
        <v>3619</v>
      </c>
      <c r="D453" s="31" t="s">
        <v>3619</v>
      </c>
      <c r="E453" s="5"/>
      <c r="F453" s="5" t="s">
        <v>703</v>
      </c>
      <c r="G453" s="5" t="s">
        <v>589</v>
      </c>
      <c r="H453" s="31" t="s">
        <v>386</v>
      </c>
      <c r="I453" s="32" t="s">
        <v>900</v>
      </c>
      <c r="J453" s="32" t="s">
        <v>900</v>
      </c>
      <c r="K453" s="5" t="s">
        <v>386</v>
      </c>
      <c r="L453" s="5" t="s">
        <v>386</v>
      </c>
      <c r="M453" s="5" t="s">
        <v>231</v>
      </c>
      <c r="N453" s="5" t="s">
        <v>386</v>
      </c>
      <c r="O453" s="33" t="s">
        <v>386</v>
      </c>
      <c r="P453" s="5" t="s">
        <v>386</v>
      </c>
      <c r="Q453" s="1" t="s">
        <v>251</v>
      </c>
      <c r="R453" s="31" t="s">
        <v>591</v>
      </c>
      <c r="S453" s="31" t="s">
        <v>3620</v>
      </c>
      <c r="T453" s="31"/>
      <c r="U453" s="55" t="s">
        <v>3621</v>
      </c>
      <c r="V453" s="5"/>
      <c r="W453" s="40">
        <v>0</v>
      </c>
      <c r="X453" s="41" t="s">
        <v>386</v>
      </c>
      <c r="Y453" s="42"/>
      <c r="Z453" s="38" t="s">
        <v>386</v>
      </c>
      <c r="AA453" s="31"/>
      <c r="AB453" s="31" t="s">
        <v>3622</v>
      </c>
      <c r="AC453" s="5" t="s">
        <v>24</v>
      </c>
      <c r="AD453" s="31" t="s">
        <v>596</v>
      </c>
      <c r="AE453" s="171" t="s">
        <v>595</v>
      </c>
      <c r="AF453" s="55" t="s">
        <v>3622</v>
      </c>
      <c r="AG453" s="31"/>
      <c r="AH453" s="31"/>
      <c r="AI453" s="31"/>
      <c r="AJ453" s="31"/>
      <c r="AK453" s="31"/>
      <c r="AL453" s="31"/>
      <c r="AM453" s="31"/>
      <c r="AN453" s="31"/>
      <c r="AO453" s="31"/>
      <c r="AP453" s="31"/>
      <c r="AQ453" s="31"/>
      <c r="AR453" s="31"/>
      <c r="AS453" s="30"/>
      <c r="AT453" s="37"/>
      <c r="AU453" s="37"/>
      <c r="AV453" s="37"/>
      <c r="AW453" s="37"/>
      <c r="AX453" s="37"/>
      <c r="AY453" s="222">
        <v>65</v>
      </c>
      <c r="AZ453" s="38"/>
      <c r="BA453" s="38"/>
      <c r="BB453" s="46"/>
      <c r="BC453" s="37"/>
      <c r="BD453" s="37"/>
      <c r="BE453" s="5"/>
      <c r="BF453" s="5" t="s">
        <v>896</v>
      </c>
      <c r="BG453" s="31"/>
      <c r="BH453" s="31"/>
      <c r="BI453" s="31"/>
      <c r="BJ453" s="48"/>
      <c r="BK453" s="49"/>
    </row>
    <row x14ac:dyDescent="0.25" r="454" customHeight="1" ht="31.5">
      <c r="A454" s="30" t="s">
        <v>896</v>
      </c>
      <c r="B454" s="5" t="s">
        <v>896</v>
      </c>
      <c r="C454" s="31" t="s">
        <v>3623</v>
      </c>
      <c r="D454" s="31" t="s">
        <v>3623</v>
      </c>
      <c r="E454" s="5"/>
      <c r="F454" s="5" t="s">
        <v>703</v>
      </c>
      <c r="G454" s="5" t="s">
        <v>589</v>
      </c>
      <c r="H454" s="31" t="s">
        <v>386</v>
      </c>
      <c r="I454" s="32" t="s">
        <v>900</v>
      </c>
      <c r="J454" s="32" t="s">
        <v>900</v>
      </c>
      <c r="K454" s="5" t="s">
        <v>386</v>
      </c>
      <c r="L454" s="5" t="s">
        <v>386</v>
      </c>
      <c r="M454" s="5" t="s">
        <v>231</v>
      </c>
      <c r="N454" s="5" t="s">
        <v>386</v>
      </c>
      <c r="O454" s="33" t="s">
        <v>386</v>
      </c>
      <c r="P454" s="5" t="s">
        <v>386</v>
      </c>
      <c r="Q454" s="1" t="s">
        <v>251</v>
      </c>
      <c r="R454" s="31" t="s">
        <v>591</v>
      </c>
      <c r="S454" s="31" t="s">
        <v>898</v>
      </c>
      <c r="T454" s="31"/>
      <c r="U454" s="55" t="s">
        <v>3624</v>
      </c>
      <c r="V454" s="5"/>
      <c r="W454" s="40">
        <v>0</v>
      </c>
      <c r="X454" s="41" t="s">
        <v>386</v>
      </c>
      <c r="Y454" s="42"/>
      <c r="Z454" s="38" t="s">
        <v>386</v>
      </c>
      <c r="AA454" s="31"/>
      <c r="AB454" s="31" t="s">
        <v>3625</v>
      </c>
      <c r="AC454" s="5" t="s">
        <v>24</v>
      </c>
      <c r="AD454" s="31" t="s">
        <v>596</v>
      </c>
      <c r="AE454" s="171" t="s">
        <v>595</v>
      </c>
      <c r="AF454" s="55" t="s">
        <v>3625</v>
      </c>
      <c r="AG454" s="31"/>
      <c r="AH454" s="31"/>
      <c r="AI454" s="31"/>
      <c r="AJ454" s="31"/>
      <c r="AK454" s="31"/>
      <c r="AL454" s="31"/>
      <c r="AM454" s="31"/>
      <c r="AN454" s="31"/>
      <c r="AO454" s="31"/>
      <c r="AP454" s="31"/>
      <c r="AQ454" s="31"/>
      <c r="AR454" s="31"/>
      <c r="AS454" s="30"/>
      <c r="AT454" s="37"/>
      <c r="AU454" s="37"/>
      <c r="AV454" s="37"/>
      <c r="AW454" s="37"/>
      <c r="AX454" s="37"/>
      <c r="AY454" s="222">
        <v>65</v>
      </c>
      <c r="AZ454" s="38"/>
      <c r="BA454" s="38"/>
      <c r="BB454" s="46"/>
      <c r="BC454" s="37"/>
      <c r="BD454" s="37"/>
      <c r="BE454" s="5"/>
      <c r="BF454" s="5" t="s">
        <v>896</v>
      </c>
      <c r="BG454" s="31"/>
      <c r="BH454" s="31"/>
      <c r="BI454" s="31"/>
      <c r="BJ454" s="48"/>
      <c r="BK454" s="49"/>
    </row>
    <row x14ac:dyDescent="0.25" r="455" customHeight="1" ht="31.5">
      <c r="A455" s="274" t="s">
        <v>896</v>
      </c>
      <c r="B455" s="57" t="s">
        <v>896</v>
      </c>
      <c r="C455" s="48" t="s">
        <v>3626</v>
      </c>
      <c r="D455" s="48" t="s">
        <v>3627</v>
      </c>
      <c r="E455" s="48"/>
      <c r="F455" s="48" t="s">
        <v>226</v>
      </c>
      <c r="G455" s="48" t="s">
        <v>386</v>
      </c>
      <c r="H455" s="48" t="s">
        <v>386</v>
      </c>
      <c r="I455" s="275" t="s">
        <v>386</v>
      </c>
      <c r="J455" s="48" t="s">
        <v>386</v>
      </c>
      <c r="K455" s="48"/>
      <c r="L455" s="48"/>
      <c r="M455" s="48" t="s">
        <v>231</v>
      </c>
      <c r="N455" s="48"/>
      <c r="O455" s="276"/>
      <c r="P455" s="57"/>
      <c r="Q455" s="277" t="s">
        <v>233</v>
      </c>
      <c r="R455" s="48" t="s">
        <v>242</v>
      </c>
      <c r="S455" s="48"/>
      <c r="T455" s="48" t="s">
        <v>3628</v>
      </c>
      <c r="U455" s="48" t="s">
        <v>3627</v>
      </c>
      <c r="V455" s="57"/>
      <c r="W455" s="278">
        <v>0</v>
      </c>
      <c r="X455" s="48"/>
      <c r="Y455" s="57" t="s">
        <v>256</v>
      </c>
      <c r="Z455" s="279">
        <v>0</v>
      </c>
      <c r="AA455" s="48"/>
      <c r="AB455" s="48" t="s">
        <v>3629</v>
      </c>
      <c r="AC455" s="57" t="s">
        <v>52</v>
      </c>
      <c r="AD455" s="48" t="s">
        <v>238</v>
      </c>
      <c r="AE455" s="280" t="s">
        <v>239</v>
      </c>
      <c r="AF455" s="48" t="s">
        <v>3629</v>
      </c>
      <c r="AG455" s="48"/>
      <c r="AH455" s="48"/>
      <c r="AI455" s="48"/>
      <c r="AJ455" s="48" t="s">
        <v>241</v>
      </c>
      <c r="AK455" s="48" t="s">
        <v>238</v>
      </c>
      <c r="AL455" s="48"/>
      <c r="AM455" s="48"/>
      <c r="AN455" s="48"/>
      <c r="AO455" s="48"/>
      <c r="AP455" s="48"/>
      <c r="AQ455" s="48" t="s">
        <v>242</v>
      </c>
      <c r="AR455" s="48"/>
      <c r="AS455" s="49"/>
      <c r="AT455" s="229"/>
      <c r="AU455" s="229"/>
      <c r="AV455" s="229"/>
      <c r="AW455" s="229"/>
      <c r="AX455" s="229"/>
      <c r="AY455" s="274"/>
      <c r="AZ455" s="274"/>
      <c r="BA455" s="274"/>
      <c r="BB455" s="39"/>
      <c r="BC455" s="229"/>
      <c r="BD455" s="229"/>
      <c r="BE455" s="57"/>
      <c r="BF455" s="57"/>
      <c r="BG455" s="48" t="s">
        <v>3626</v>
      </c>
      <c r="BH455" s="48" t="s">
        <v>3626</v>
      </c>
      <c r="BI455" s="48" t="s">
        <v>3626</v>
      </c>
      <c r="BJ455" s="48"/>
      <c r="BK455" s="49">
        <v>1</v>
      </c>
    </row>
    <row x14ac:dyDescent="0.25" r="456" customHeight="1" ht="31.5">
      <c r="A456" s="274" t="s">
        <v>896</v>
      </c>
      <c r="B456" s="57" t="s">
        <v>896</v>
      </c>
      <c r="C456" s="48" t="s">
        <v>3630</v>
      </c>
      <c r="D456" s="48" t="s">
        <v>3631</v>
      </c>
      <c r="E456" s="48"/>
      <c r="F456" s="48" t="s">
        <v>226</v>
      </c>
      <c r="G456" s="48" t="s">
        <v>386</v>
      </c>
      <c r="H456" s="48" t="s">
        <v>386</v>
      </c>
      <c r="I456" s="275" t="s">
        <v>386</v>
      </c>
      <c r="J456" s="48" t="s">
        <v>386</v>
      </c>
      <c r="K456" s="48"/>
      <c r="L456" s="48"/>
      <c r="M456" s="48" t="s">
        <v>231</v>
      </c>
      <c r="N456" s="48"/>
      <c r="O456" s="276"/>
      <c r="P456" s="57"/>
      <c r="Q456" s="277" t="s">
        <v>233</v>
      </c>
      <c r="R456" s="48" t="s">
        <v>242</v>
      </c>
      <c r="S456" s="48"/>
      <c r="T456" s="48" t="s">
        <v>3628</v>
      </c>
      <c r="U456" s="48" t="s">
        <v>3631</v>
      </c>
      <c r="V456" s="57"/>
      <c r="W456" s="278">
        <v>0</v>
      </c>
      <c r="X456" s="48"/>
      <c r="Y456" s="57" t="s">
        <v>256</v>
      </c>
      <c r="Z456" s="279">
        <v>0</v>
      </c>
      <c r="AA456" s="48"/>
      <c r="AB456" s="48" t="s">
        <v>3632</v>
      </c>
      <c r="AC456" s="57" t="s">
        <v>52</v>
      </c>
      <c r="AD456" s="48" t="s">
        <v>238</v>
      </c>
      <c r="AE456" s="280" t="s">
        <v>239</v>
      </c>
      <c r="AF456" s="48" t="s">
        <v>3632</v>
      </c>
      <c r="AG456" s="48"/>
      <c r="AH456" s="48"/>
      <c r="AI456" s="48"/>
      <c r="AJ456" s="48" t="s">
        <v>241</v>
      </c>
      <c r="AK456" s="48" t="s">
        <v>238</v>
      </c>
      <c r="AL456" s="48"/>
      <c r="AM456" s="48"/>
      <c r="AN456" s="48"/>
      <c r="AO456" s="48"/>
      <c r="AP456" s="48"/>
      <c r="AQ456" s="48" t="s">
        <v>242</v>
      </c>
      <c r="AR456" s="48"/>
      <c r="AS456" s="49"/>
      <c r="AT456" s="229"/>
      <c r="AU456" s="229"/>
      <c r="AV456" s="229"/>
      <c r="AW456" s="229"/>
      <c r="AX456" s="229"/>
      <c r="AY456" s="274"/>
      <c r="AZ456" s="274"/>
      <c r="BA456" s="274"/>
      <c r="BB456" s="39"/>
      <c r="BC456" s="229"/>
      <c r="BD456" s="229"/>
      <c r="BE456" s="57"/>
      <c r="BF456" s="57"/>
      <c r="BG456" s="48" t="s">
        <v>3630</v>
      </c>
      <c r="BH456" s="48" t="s">
        <v>3630</v>
      </c>
      <c r="BI456" s="48" t="s">
        <v>3630</v>
      </c>
      <c r="BJ456" s="48"/>
      <c r="BK456" s="49">
        <v>1</v>
      </c>
    </row>
    <row x14ac:dyDescent="0.25" r="457" customHeight="1" ht="31.5">
      <c r="A457" s="49" t="s">
        <v>896</v>
      </c>
      <c r="B457" s="57" t="s">
        <v>896</v>
      </c>
      <c r="C457" s="48" t="s">
        <v>3633</v>
      </c>
      <c r="D457" s="48" t="s">
        <v>3634</v>
      </c>
      <c r="E457" s="57"/>
      <c r="F457" s="57" t="s">
        <v>226</v>
      </c>
      <c r="G457" s="57" t="s">
        <v>386</v>
      </c>
      <c r="H457" s="48" t="s">
        <v>386</v>
      </c>
      <c r="I457" s="275" t="s">
        <v>386</v>
      </c>
      <c r="J457" s="275" t="s">
        <v>386</v>
      </c>
      <c r="K457" s="57"/>
      <c r="L457" s="57"/>
      <c r="M457" s="57" t="s">
        <v>231</v>
      </c>
      <c r="N457" s="57"/>
      <c r="O457" s="276"/>
      <c r="P457" s="57"/>
      <c r="Q457" s="277" t="s">
        <v>233</v>
      </c>
      <c r="R457" s="48" t="s">
        <v>242</v>
      </c>
      <c r="S457" s="48"/>
      <c r="T457" s="48" t="s">
        <v>3628</v>
      </c>
      <c r="U457" s="48" t="s">
        <v>3633</v>
      </c>
      <c r="V457" s="57"/>
      <c r="W457" s="278">
        <v>0</v>
      </c>
      <c r="X457" s="48"/>
      <c r="Y457" s="57" t="s">
        <v>256</v>
      </c>
      <c r="Z457" s="279">
        <v>0</v>
      </c>
      <c r="AA457" s="48"/>
      <c r="AB457" s="48" t="s">
        <v>3635</v>
      </c>
      <c r="AC457" s="57" t="s">
        <v>52</v>
      </c>
      <c r="AD457" s="48" t="s">
        <v>238</v>
      </c>
      <c r="AE457" s="280" t="s">
        <v>1007</v>
      </c>
      <c r="AF457" s="48" t="s">
        <v>3635</v>
      </c>
      <c r="AG457" s="48"/>
      <c r="AH457" s="48"/>
      <c r="AI457" s="48"/>
      <c r="AJ457" s="48" t="s">
        <v>241</v>
      </c>
      <c r="AK457" s="48" t="s">
        <v>238</v>
      </c>
      <c r="AL457" s="48"/>
      <c r="AM457" s="48"/>
      <c r="AN457" s="48"/>
      <c r="AO457" s="48"/>
      <c r="AP457" s="48"/>
      <c r="AQ457" s="48"/>
      <c r="AR457" s="48"/>
      <c r="AS457" s="49"/>
      <c r="AT457" s="229"/>
      <c r="AU457" s="229"/>
      <c r="AV457" s="229"/>
      <c r="AW457" s="229"/>
      <c r="AX457" s="229"/>
      <c r="AY457" s="274"/>
      <c r="AZ457" s="274"/>
      <c r="BA457" s="274"/>
      <c r="BB457" s="46"/>
      <c r="BC457" s="229"/>
      <c r="BD457" s="229"/>
      <c r="BE457" s="57"/>
      <c r="BF457" s="57"/>
      <c r="BG457" s="48" t="s">
        <v>3636</v>
      </c>
      <c r="BH457" s="48" t="s">
        <v>3636</v>
      </c>
      <c r="BI457" s="48" t="s">
        <v>3636</v>
      </c>
      <c r="BJ457" s="48"/>
      <c r="BK457" s="49">
        <v>1</v>
      </c>
    </row>
    <row x14ac:dyDescent="0.25" r="458" customHeight="1" ht="31.5">
      <c r="A458" s="49" t="s">
        <v>896</v>
      </c>
      <c r="B458" s="57" t="s">
        <v>896</v>
      </c>
      <c r="C458" s="48" t="s">
        <v>3637</v>
      </c>
      <c r="D458" s="48" t="s">
        <v>3638</v>
      </c>
      <c r="E458" s="57"/>
      <c r="F458" s="57" t="s">
        <v>226</v>
      </c>
      <c r="G458" s="57" t="s">
        <v>386</v>
      </c>
      <c r="H458" s="48" t="s">
        <v>386</v>
      </c>
      <c r="I458" s="275" t="s">
        <v>386</v>
      </c>
      <c r="J458" s="275" t="s">
        <v>386</v>
      </c>
      <c r="K458" s="57"/>
      <c r="L458" s="57"/>
      <c r="M458" s="57" t="s">
        <v>231</v>
      </c>
      <c r="N458" s="57"/>
      <c r="O458" s="276"/>
      <c r="P458" s="57"/>
      <c r="Q458" s="277" t="s">
        <v>233</v>
      </c>
      <c r="R458" s="48" t="s">
        <v>242</v>
      </c>
      <c r="S458" s="48"/>
      <c r="T458" s="48" t="s">
        <v>3628</v>
      </c>
      <c r="U458" s="48" t="s">
        <v>3637</v>
      </c>
      <c r="V458" s="57"/>
      <c r="W458" s="278">
        <v>0</v>
      </c>
      <c r="X458" s="48"/>
      <c r="Y458" s="57" t="s">
        <v>256</v>
      </c>
      <c r="Z458" s="279">
        <v>0</v>
      </c>
      <c r="AA458" s="48"/>
      <c r="AB458" s="48" t="s">
        <v>3639</v>
      </c>
      <c r="AC458" s="57" t="s">
        <v>52</v>
      </c>
      <c r="AD458" s="48" t="s">
        <v>238</v>
      </c>
      <c r="AE458" s="280" t="s">
        <v>1007</v>
      </c>
      <c r="AF458" s="48" t="s">
        <v>3639</v>
      </c>
      <c r="AG458" s="48"/>
      <c r="AH458" s="48"/>
      <c r="AI458" s="48"/>
      <c r="AJ458" s="48" t="s">
        <v>241</v>
      </c>
      <c r="AK458" s="48" t="s">
        <v>238</v>
      </c>
      <c r="AL458" s="48"/>
      <c r="AM458" s="48"/>
      <c r="AN458" s="48"/>
      <c r="AO458" s="48"/>
      <c r="AP458" s="48"/>
      <c r="AQ458" s="48"/>
      <c r="AR458" s="48"/>
      <c r="AS458" s="49"/>
      <c r="AT458" s="229"/>
      <c r="AU458" s="229"/>
      <c r="AV458" s="229"/>
      <c r="AW458" s="229"/>
      <c r="AX458" s="229"/>
      <c r="AY458" s="274"/>
      <c r="AZ458" s="274"/>
      <c r="BA458" s="274"/>
      <c r="BB458" s="46"/>
      <c r="BC458" s="229"/>
      <c r="BD458" s="229"/>
      <c r="BE458" s="57"/>
      <c r="BF458" s="57"/>
      <c r="BG458" s="48" t="s">
        <v>3640</v>
      </c>
      <c r="BH458" s="48" t="s">
        <v>3640</v>
      </c>
      <c r="BI458" s="48" t="s">
        <v>3640</v>
      </c>
      <c r="BJ458" s="48"/>
      <c r="BK458" s="49">
        <v>1</v>
      </c>
    </row>
    <row x14ac:dyDescent="0.25" r="459" customHeight="1" ht="31.5">
      <c r="A459" s="274" t="s">
        <v>896</v>
      </c>
      <c r="B459" s="57" t="s">
        <v>896</v>
      </c>
      <c r="C459" s="48" t="s">
        <v>3641</v>
      </c>
      <c r="D459" s="48" t="s">
        <v>3641</v>
      </c>
      <c r="E459" s="48"/>
      <c r="F459" s="48" t="s">
        <v>226</v>
      </c>
      <c r="G459" s="48" t="s">
        <v>386</v>
      </c>
      <c r="H459" s="48" t="s">
        <v>386</v>
      </c>
      <c r="I459" s="275" t="s">
        <v>386</v>
      </c>
      <c r="J459" s="48" t="s">
        <v>386</v>
      </c>
      <c r="K459" s="48"/>
      <c r="L459" s="48"/>
      <c r="M459" s="48" t="s">
        <v>231</v>
      </c>
      <c r="N459" s="48"/>
      <c r="O459" s="276"/>
      <c r="P459" s="57"/>
      <c r="Q459" s="277" t="s">
        <v>233</v>
      </c>
      <c r="R459" s="48" t="s">
        <v>242</v>
      </c>
      <c r="S459" s="48"/>
      <c r="T459" s="48" t="s">
        <v>3642</v>
      </c>
      <c r="U459" s="48" t="s">
        <v>3641</v>
      </c>
      <c r="V459" s="57"/>
      <c r="W459" s="278">
        <v>0</v>
      </c>
      <c r="X459" s="48"/>
      <c r="Y459" s="57" t="s">
        <v>256</v>
      </c>
      <c r="Z459" s="279">
        <v>0</v>
      </c>
      <c r="AA459" s="48"/>
      <c r="AB459" s="48" t="s">
        <v>3643</v>
      </c>
      <c r="AC459" s="57" t="s">
        <v>52</v>
      </c>
      <c r="AD459" s="48" t="s">
        <v>238</v>
      </c>
      <c r="AE459" s="231" t="s">
        <v>3644</v>
      </c>
      <c r="AF459" s="48" t="s">
        <v>3643</v>
      </c>
      <c r="AG459" s="48"/>
      <c r="AH459" s="48"/>
      <c r="AI459" s="48"/>
      <c r="AJ459" s="48" t="s">
        <v>241</v>
      </c>
      <c r="AK459" s="48" t="s">
        <v>238</v>
      </c>
      <c r="AL459" s="48"/>
      <c r="AM459" s="48"/>
      <c r="AN459" s="48"/>
      <c r="AO459" s="48"/>
      <c r="AP459" s="48"/>
      <c r="AQ459" s="48" t="s">
        <v>242</v>
      </c>
      <c r="AR459" s="48"/>
      <c r="AS459" s="49"/>
      <c r="AT459" s="229"/>
      <c r="AU459" s="229"/>
      <c r="AV459" s="229"/>
      <c r="AW459" s="229"/>
      <c r="AX459" s="229"/>
      <c r="AY459" s="274"/>
      <c r="AZ459" s="274"/>
      <c r="BA459" s="274"/>
      <c r="BB459" s="39"/>
      <c r="BC459" s="229"/>
      <c r="BD459" s="229"/>
      <c r="BE459" s="57"/>
      <c r="BF459" s="57"/>
      <c r="BG459" s="48" t="s">
        <v>3641</v>
      </c>
      <c r="BH459" s="48" t="s">
        <v>3641</v>
      </c>
      <c r="BI459" s="48" t="s">
        <v>3641</v>
      </c>
      <c r="BJ459" s="48"/>
      <c r="BK459" s="49">
        <v>1</v>
      </c>
    </row>
    <row x14ac:dyDescent="0.25" r="460" customHeight="1" ht="31.5">
      <c r="A460" s="274" t="s">
        <v>896</v>
      </c>
      <c r="B460" s="57" t="s">
        <v>896</v>
      </c>
      <c r="C460" s="48" t="s">
        <v>3645</v>
      </c>
      <c r="D460" s="48" t="s">
        <v>3645</v>
      </c>
      <c r="E460" s="48"/>
      <c r="F460" s="48" t="s">
        <v>577</v>
      </c>
      <c r="G460" s="48" t="s">
        <v>386</v>
      </c>
      <c r="H460" s="48" t="s">
        <v>386</v>
      </c>
      <c r="I460" s="275" t="s">
        <v>386</v>
      </c>
      <c r="J460" s="48" t="s">
        <v>386</v>
      </c>
      <c r="K460" s="48"/>
      <c r="L460" s="48"/>
      <c r="M460" s="48" t="s">
        <v>231</v>
      </c>
      <c r="N460" s="48"/>
      <c r="O460" s="276"/>
      <c r="P460" s="57"/>
      <c r="Q460" s="277" t="s">
        <v>251</v>
      </c>
      <c r="R460" s="48" t="s">
        <v>242</v>
      </c>
      <c r="S460" s="48"/>
      <c r="T460" s="48" t="s">
        <v>3642</v>
      </c>
      <c r="U460" s="48" t="s">
        <v>3645</v>
      </c>
      <c r="V460" s="57"/>
      <c r="W460" s="278">
        <v>0</v>
      </c>
      <c r="X460" s="48"/>
      <c r="Y460" s="57"/>
      <c r="Z460" s="279">
        <v>0</v>
      </c>
      <c r="AA460" s="48"/>
      <c r="AB460" s="48" t="s">
        <v>3646</v>
      </c>
      <c r="AC460" s="57" t="s">
        <v>38</v>
      </c>
      <c r="AD460" s="48" t="s">
        <v>259</v>
      </c>
      <c r="AE460" s="231" t="s">
        <v>3644</v>
      </c>
      <c r="AF460" s="48" t="s">
        <v>3646</v>
      </c>
      <c r="AG460" s="48"/>
      <c r="AH460" s="48"/>
      <c r="AI460" s="48"/>
      <c r="AJ460" s="48" t="s">
        <v>262</v>
      </c>
      <c r="AK460" s="48" t="s">
        <v>259</v>
      </c>
      <c r="AL460" s="48"/>
      <c r="AM460" s="48"/>
      <c r="AN460" s="48"/>
      <c r="AO460" s="48"/>
      <c r="AP460" s="48"/>
      <c r="AQ460" s="48" t="s">
        <v>242</v>
      </c>
      <c r="AR460" s="48"/>
      <c r="AS460" s="49"/>
      <c r="AT460" s="229"/>
      <c r="AU460" s="229"/>
      <c r="AV460" s="229"/>
      <c r="AW460" s="229"/>
      <c r="AX460" s="229"/>
      <c r="AY460" s="274"/>
      <c r="AZ460" s="274"/>
      <c r="BA460" s="274"/>
      <c r="BB460" s="39"/>
      <c r="BC460" s="229"/>
      <c r="BD460" s="229"/>
      <c r="BE460" s="57"/>
      <c r="BF460" s="57"/>
      <c r="BG460" s="48" t="s">
        <v>3645</v>
      </c>
      <c r="BH460" s="48" t="s">
        <v>3645</v>
      </c>
      <c r="BI460" s="48" t="s">
        <v>3645</v>
      </c>
      <c r="BJ460" s="48"/>
      <c r="BK460" s="49">
        <v>1</v>
      </c>
    </row>
    <row x14ac:dyDescent="0.25" r="461" customHeight="1" ht="31.5">
      <c r="A461" s="274" t="s">
        <v>896</v>
      </c>
      <c r="B461" s="57" t="s">
        <v>896</v>
      </c>
      <c r="C461" s="48" t="s">
        <v>3647</v>
      </c>
      <c r="D461" s="48" t="s">
        <v>3647</v>
      </c>
      <c r="E461" s="48"/>
      <c r="F461" s="48" t="s">
        <v>226</v>
      </c>
      <c r="G461" s="48" t="s">
        <v>386</v>
      </c>
      <c r="H461" s="48" t="s">
        <v>386</v>
      </c>
      <c r="I461" s="275" t="s">
        <v>386</v>
      </c>
      <c r="J461" s="48" t="s">
        <v>386</v>
      </c>
      <c r="K461" s="48"/>
      <c r="L461" s="48"/>
      <c r="M461" s="48" t="s">
        <v>231</v>
      </c>
      <c r="N461" s="48"/>
      <c r="O461" s="276"/>
      <c r="P461" s="57"/>
      <c r="Q461" s="277" t="s">
        <v>233</v>
      </c>
      <c r="R461" s="48" t="s">
        <v>242</v>
      </c>
      <c r="S461" s="48"/>
      <c r="T461" s="48" t="s">
        <v>3642</v>
      </c>
      <c r="U461" s="48" t="s">
        <v>3648</v>
      </c>
      <c r="V461" s="57"/>
      <c r="W461" s="278">
        <v>0</v>
      </c>
      <c r="X461" s="48"/>
      <c r="Y461" s="57" t="s">
        <v>256</v>
      </c>
      <c r="Z461" s="279">
        <v>0</v>
      </c>
      <c r="AA461" s="48"/>
      <c r="AB461" s="48" t="s">
        <v>3649</v>
      </c>
      <c r="AC461" s="57" t="s">
        <v>52</v>
      </c>
      <c r="AD461" s="48" t="s">
        <v>238</v>
      </c>
      <c r="AE461" s="231" t="s">
        <v>3644</v>
      </c>
      <c r="AF461" s="48" t="s">
        <v>3649</v>
      </c>
      <c r="AG461" s="48"/>
      <c r="AH461" s="48"/>
      <c r="AI461" s="48"/>
      <c r="AJ461" s="48" t="s">
        <v>241</v>
      </c>
      <c r="AK461" s="48" t="s">
        <v>238</v>
      </c>
      <c r="AL461" s="48"/>
      <c r="AM461" s="48"/>
      <c r="AN461" s="48"/>
      <c r="AO461" s="48"/>
      <c r="AP461" s="48"/>
      <c r="AQ461" s="48" t="s">
        <v>242</v>
      </c>
      <c r="AR461" s="48"/>
      <c r="AS461" s="49"/>
      <c r="AT461" s="229"/>
      <c r="AU461" s="229"/>
      <c r="AV461" s="229"/>
      <c r="AW461" s="229"/>
      <c r="AX461" s="229"/>
      <c r="AY461" s="274"/>
      <c r="AZ461" s="274"/>
      <c r="BA461" s="274"/>
      <c r="BB461" s="39"/>
      <c r="BC461" s="229"/>
      <c r="BD461" s="229"/>
      <c r="BE461" s="57"/>
      <c r="BF461" s="57"/>
      <c r="BG461" s="48" t="s">
        <v>3648</v>
      </c>
      <c r="BH461" s="48" t="s">
        <v>3648</v>
      </c>
      <c r="BI461" s="48" t="s">
        <v>3648</v>
      </c>
      <c r="BJ461" s="48"/>
      <c r="BK461" s="49">
        <v>1</v>
      </c>
    </row>
    <row x14ac:dyDescent="0.25" r="462" customHeight="1" ht="31.5">
      <c r="A462" s="274" t="s">
        <v>896</v>
      </c>
      <c r="B462" s="57" t="s">
        <v>896</v>
      </c>
      <c r="C462" s="48" t="s">
        <v>3650</v>
      </c>
      <c r="D462" s="48" t="s">
        <v>3650</v>
      </c>
      <c r="E462" s="48"/>
      <c r="F462" s="48" t="s">
        <v>226</v>
      </c>
      <c r="G462" s="48" t="s">
        <v>386</v>
      </c>
      <c r="H462" s="48" t="s">
        <v>386</v>
      </c>
      <c r="I462" s="275" t="s">
        <v>386</v>
      </c>
      <c r="J462" s="48" t="s">
        <v>386</v>
      </c>
      <c r="K462" s="48"/>
      <c r="L462" s="48"/>
      <c r="M462" s="48" t="s">
        <v>231</v>
      </c>
      <c r="N462" s="48"/>
      <c r="O462" s="276"/>
      <c r="P462" s="57"/>
      <c r="Q462" s="277" t="s">
        <v>251</v>
      </c>
      <c r="R462" s="48" t="s">
        <v>242</v>
      </c>
      <c r="S462" s="48"/>
      <c r="T462" s="48" t="s">
        <v>3642</v>
      </c>
      <c r="U462" s="48" t="s">
        <v>3651</v>
      </c>
      <c r="V462" s="57"/>
      <c r="W462" s="278">
        <v>0</v>
      </c>
      <c r="X462" s="48"/>
      <c r="Y462" s="57" t="s">
        <v>256</v>
      </c>
      <c r="Z462" s="279">
        <v>0</v>
      </c>
      <c r="AA462" s="48"/>
      <c r="AB462" s="48" t="s">
        <v>3652</v>
      </c>
      <c r="AC462" s="57" t="s">
        <v>38</v>
      </c>
      <c r="AD462" s="48" t="s">
        <v>259</v>
      </c>
      <c r="AE462" s="231" t="s">
        <v>3644</v>
      </c>
      <c r="AF462" s="48" t="s">
        <v>3652</v>
      </c>
      <c r="AG462" s="48"/>
      <c r="AH462" s="48"/>
      <c r="AI462" s="48"/>
      <c r="AJ462" s="48" t="s">
        <v>262</v>
      </c>
      <c r="AK462" s="48" t="s">
        <v>259</v>
      </c>
      <c r="AL462" s="48"/>
      <c r="AM462" s="48"/>
      <c r="AN462" s="48"/>
      <c r="AO462" s="48"/>
      <c r="AP462" s="48"/>
      <c r="AQ462" s="48" t="s">
        <v>242</v>
      </c>
      <c r="AR462" s="48"/>
      <c r="AS462" s="49"/>
      <c r="AT462" s="229"/>
      <c r="AU462" s="229"/>
      <c r="AV462" s="229"/>
      <c r="AW462" s="229"/>
      <c r="AX462" s="229"/>
      <c r="AY462" s="274"/>
      <c r="AZ462" s="274"/>
      <c r="BA462" s="274"/>
      <c r="BB462" s="39"/>
      <c r="BC462" s="229"/>
      <c r="BD462" s="229"/>
      <c r="BE462" s="57"/>
      <c r="BF462" s="57"/>
      <c r="BG462" s="48" t="s">
        <v>3651</v>
      </c>
      <c r="BH462" s="48" t="s">
        <v>3651</v>
      </c>
      <c r="BI462" s="48" t="s">
        <v>3651</v>
      </c>
      <c r="BJ462" s="48"/>
      <c r="BK462" s="49">
        <v>1</v>
      </c>
    </row>
    <row x14ac:dyDescent="0.25" r="463" customHeight="1" ht="31.5">
      <c r="A463" s="49" t="s">
        <v>896</v>
      </c>
      <c r="B463" s="57" t="s">
        <v>896</v>
      </c>
      <c r="C463" s="48" t="s">
        <v>3653</v>
      </c>
      <c r="D463" s="48" t="s">
        <v>3653</v>
      </c>
      <c r="E463" s="57"/>
      <c r="F463" s="57" t="s">
        <v>577</v>
      </c>
      <c r="G463" s="57" t="s">
        <v>386</v>
      </c>
      <c r="H463" s="48" t="s">
        <v>386</v>
      </c>
      <c r="I463" s="275" t="s">
        <v>386</v>
      </c>
      <c r="J463" s="275" t="s">
        <v>386</v>
      </c>
      <c r="K463" s="57"/>
      <c r="L463" s="57"/>
      <c r="M463" s="57" t="s">
        <v>231</v>
      </c>
      <c r="N463" s="57"/>
      <c r="O463" s="276"/>
      <c r="P463" s="57"/>
      <c r="Q463" s="277" t="s">
        <v>233</v>
      </c>
      <c r="R463" s="48" t="s">
        <v>242</v>
      </c>
      <c r="S463" s="48"/>
      <c r="T463" s="48" t="s">
        <v>3628</v>
      </c>
      <c r="U463" s="48" t="s">
        <v>3654</v>
      </c>
      <c r="V463" s="57"/>
      <c r="W463" s="278">
        <v>0</v>
      </c>
      <c r="X463" s="57"/>
      <c r="Y463" s="57"/>
      <c r="Z463" s="279">
        <v>0</v>
      </c>
      <c r="AA463" s="48"/>
      <c r="AB463" s="48" t="s">
        <v>3655</v>
      </c>
      <c r="AC463" s="57" t="s">
        <v>38</v>
      </c>
      <c r="AD463" s="48" t="s">
        <v>238</v>
      </c>
      <c r="AE463" s="280" t="s">
        <v>3656</v>
      </c>
      <c r="AF463" s="48" t="s">
        <v>3655</v>
      </c>
      <c r="AG463" s="48"/>
      <c r="AH463" s="48"/>
      <c r="AI463" s="48"/>
      <c r="AJ463" s="48" t="s">
        <v>241</v>
      </c>
      <c r="AK463" s="48" t="s">
        <v>238</v>
      </c>
      <c r="AL463" s="48"/>
      <c r="AM463" s="48"/>
      <c r="AN463" s="48"/>
      <c r="AO463" s="48"/>
      <c r="AP463" s="48"/>
      <c r="AQ463" s="48"/>
      <c r="AR463" s="48"/>
      <c r="AS463" s="49"/>
      <c r="AT463" s="229"/>
      <c r="AU463" s="229"/>
      <c r="AV463" s="229"/>
      <c r="AW463" s="229"/>
      <c r="AX463" s="229"/>
      <c r="AY463" s="274"/>
      <c r="AZ463" s="274"/>
      <c r="BA463" s="274"/>
      <c r="BB463" s="46"/>
      <c r="BC463" s="229"/>
      <c r="BD463" s="229"/>
      <c r="BE463" s="57"/>
      <c r="BF463" s="57"/>
      <c r="BG463" s="48" t="s">
        <v>3653</v>
      </c>
      <c r="BH463" s="48" t="s">
        <v>3653</v>
      </c>
      <c r="BI463" s="48" t="s">
        <v>3653</v>
      </c>
      <c r="BJ463" s="48"/>
      <c r="BK463" s="49">
        <v>1</v>
      </c>
    </row>
    <row x14ac:dyDescent="0.25" r="464" customHeight="1" ht="31.5">
      <c r="A464" s="274" t="s">
        <v>896</v>
      </c>
      <c r="B464" s="57" t="s">
        <v>896</v>
      </c>
      <c r="C464" s="48" t="s">
        <v>3657</v>
      </c>
      <c r="D464" s="48" t="s">
        <v>3657</v>
      </c>
      <c r="E464" s="48"/>
      <c r="F464" s="48" t="s">
        <v>226</v>
      </c>
      <c r="G464" s="48" t="s">
        <v>386</v>
      </c>
      <c r="H464" s="48" t="s">
        <v>386</v>
      </c>
      <c r="I464" s="275" t="s">
        <v>386</v>
      </c>
      <c r="J464" s="48" t="s">
        <v>386</v>
      </c>
      <c r="K464" s="48"/>
      <c r="L464" s="48"/>
      <c r="M464" s="48" t="s">
        <v>231</v>
      </c>
      <c r="N464" s="48"/>
      <c r="O464" s="276"/>
      <c r="P464" s="57"/>
      <c r="Q464" s="277" t="s">
        <v>233</v>
      </c>
      <c r="R464" s="48" t="s">
        <v>242</v>
      </c>
      <c r="S464" s="48"/>
      <c r="T464" s="48" t="s">
        <v>3642</v>
      </c>
      <c r="U464" s="48" t="s">
        <v>3657</v>
      </c>
      <c r="V464" s="57"/>
      <c r="W464" s="278">
        <v>0</v>
      </c>
      <c r="X464" s="48"/>
      <c r="Y464" s="57" t="s">
        <v>256</v>
      </c>
      <c r="Z464" s="279">
        <v>0</v>
      </c>
      <c r="AA464" s="48"/>
      <c r="AB464" s="48" t="s">
        <v>3658</v>
      </c>
      <c r="AC464" s="57" t="s">
        <v>52</v>
      </c>
      <c r="AD464" s="48" t="s">
        <v>238</v>
      </c>
      <c r="AE464" s="231" t="s">
        <v>3656</v>
      </c>
      <c r="AF464" s="48" t="s">
        <v>3658</v>
      </c>
      <c r="AG464" s="48"/>
      <c r="AH464" s="48"/>
      <c r="AI464" s="48"/>
      <c r="AJ464" s="48" t="s">
        <v>241</v>
      </c>
      <c r="AK464" s="48" t="s">
        <v>238</v>
      </c>
      <c r="AL464" s="48"/>
      <c r="AM464" s="48"/>
      <c r="AN464" s="48"/>
      <c r="AO464" s="48"/>
      <c r="AP464" s="48"/>
      <c r="AQ464" s="48"/>
      <c r="AR464" s="48"/>
      <c r="AS464" s="49"/>
      <c r="AT464" s="229"/>
      <c r="AU464" s="229"/>
      <c r="AV464" s="229"/>
      <c r="AW464" s="229"/>
      <c r="AX464" s="229"/>
      <c r="AY464" s="274"/>
      <c r="AZ464" s="274"/>
      <c r="BA464" s="274"/>
      <c r="BB464" s="39"/>
      <c r="BC464" s="229"/>
      <c r="BD464" s="229"/>
      <c r="BE464" s="57"/>
      <c r="BF464" s="57"/>
      <c r="BG464" s="48" t="s">
        <v>3657</v>
      </c>
      <c r="BH464" s="48" t="s">
        <v>3657</v>
      </c>
      <c r="BI464" s="48" t="s">
        <v>3657</v>
      </c>
      <c r="BJ464" s="48"/>
      <c r="BK464" s="49">
        <v>1</v>
      </c>
    </row>
    <row x14ac:dyDescent="0.25" r="465" customHeight="1" ht="31.5">
      <c r="A465" s="274" t="s">
        <v>896</v>
      </c>
      <c r="B465" s="57" t="s">
        <v>896</v>
      </c>
      <c r="C465" s="48" t="s">
        <v>3659</v>
      </c>
      <c r="D465" s="48" t="s">
        <v>3659</v>
      </c>
      <c r="E465" s="48"/>
      <c r="F465" s="48" t="s">
        <v>226</v>
      </c>
      <c r="G465" s="48" t="s">
        <v>386</v>
      </c>
      <c r="H465" s="48" t="s">
        <v>386</v>
      </c>
      <c r="I465" s="275" t="s">
        <v>386</v>
      </c>
      <c r="J465" s="48" t="s">
        <v>386</v>
      </c>
      <c r="K465" s="48"/>
      <c r="L465" s="48"/>
      <c r="M465" s="48" t="s">
        <v>231</v>
      </c>
      <c r="N465" s="48"/>
      <c r="O465" s="276"/>
      <c r="P465" s="57"/>
      <c r="Q465" s="277" t="s">
        <v>233</v>
      </c>
      <c r="R465" s="48" t="s">
        <v>242</v>
      </c>
      <c r="S465" s="48"/>
      <c r="T465" s="48" t="s">
        <v>3642</v>
      </c>
      <c r="U465" s="48" t="s">
        <v>3660</v>
      </c>
      <c r="V465" s="57"/>
      <c r="W465" s="278">
        <v>0</v>
      </c>
      <c r="X465" s="48"/>
      <c r="Y465" s="57" t="s">
        <v>256</v>
      </c>
      <c r="Z465" s="279">
        <v>0</v>
      </c>
      <c r="AA465" s="48"/>
      <c r="AB465" s="48" t="s">
        <v>3661</v>
      </c>
      <c r="AC465" s="57" t="s">
        <v>52</v>
      </c>
      <c r="AD465" s="48" t="s">
        <v>238</v>
      </c>
      <c r="AE465" s="231" t="s">
        <v>3656</v>
      </c>
      <c r="AF465" s="48" t="s">
        <v>3661</v>
      </c>
      <c r="AG465" s="48"/>
      <c r="AH465" s="48"/>
      <c r="AI465" s="48"/>
      <c r="AJ465" s="48" t="s">
        <v>241</v>
      </c>
      <c r="AK465" s="48" t="s">
        <v>238</v>
      </c>
      <c r="AL465" s="48"/>
      <c r="AM465" s="48"/>
      <c r="AN465" s="48"/>
      <c r="AO465" s="48"/>
      <c r="AP465" s="48"/>
      <c r="AQ465" s="48"/>
      <c r="AR465" s="48"/>
      <c r="AS465" s="49"/>
      <c r="AT465" s="229"/>
      <c r="AU465" s="229"/>
      <c r="AV465" s="229"/>
      <c r="AW465" s="229"/>
      <c r="AX465" s="229"/>
      <c r="AY465" s="274"/>
      <c r="AZ465" s="274"/>
      <c r="BA465" s="274"/>
      <c r="BB465" s="39"/>
      <c r="BC465" s="229"/>
      <c r="BD465" s="229"/>
      <c r="BE465" s="57"/>
      <c r="BF465" s="57"/>
      <c r="BG465" s="48" t="s">
        <v>3660</v>
      </c>
      <c r="BH465" s="48" t="s">
        <v>3660</v>
      </c>
      <c r="BI465" s="48" t="s">
        <v>3660</v>
      </c>
      <c r="BJ465" s="48"/>
      <c r="BK465" s="49">
        <v>1</v>
      </c>
    </row>
    <row x14ac:dyDescent="0.25" r="466" customHeight="1" ht="31.5">
      <c r="A466" s="49" t="s">
        <v>896</v>
      </c>
      <c r="B466" s="277" t="s">
        <v>896</v>
      </c>
      <c r="C466" s="57" t="s">
        <v>3662</v>
      </c>
      <c r="D466" s="48" t="s">
        <v>3662</v>
      </c>
      <c r="E466" s="57"/>
      <c r="F466" s="57" t="s">
        <v>226</v>
      </c>
      <c r="G466" s="57" t="s">
        <v>386</v>
      </c>
      <c r="H466" s="57" t="s">
        <v>386</v>
      </c>
      <c r="I466" s="57" t="s">
        <v>386</v>
      </c>
      <c r="J466" s="57" t="s">
        <v>386</v>
      </c>
      <c r="K466" s="57"/>
      <c r="L466" s="57"/>
      <c r="M466" s="57" t="s">
        <v>231</v>
      </c>
      <c r="N466" s="57"/>
      <c r="O466" s="276"/>
      <c r="P466" s="57"/>
      <c r="Q466" s="277" t="s">
        <v>251</v>
      </c>
      <c r="R466" s="48"/>
      <c r="S466" s="48"/>
      <c r="T466" s="48" t="s">
        <v>3642</v>
      </c>
      <c r="U466" s="48" t="s">
        <v>3662</v>
      </c>
      <c r="V466" s="57"/>
      <c r="W466" s="274"/>
      <c r="X466" s="48"/>
      <c r="Y466" s="57" t="s">
        <v>256</v>
      </c>
      <c r="Z466" s="274"/>
      <c r="AA466" s="48"/>
      <c r="AB466" s="57" t="s">
        <v>3663</v>
      </c>
      <c r="AC466" s="57" t="s">
        <v>52</v>
      </c>
      <c r="AD466" s="57" t="s">
        <v>259</v>
      </c>
      <c r="AE466" s="280" t="s">
        <v>3664</v>
      </c>
      <c r="AF466" s="57" t="s">
        <v>3663</v>
      </c>
      <c r="AG466" s="57"/>
      <c r="AH466" s="57"/>
      <c r="AI466" s="57"/>
      <c r="AJ466" s="57" t="s">
        <v>262</v>
      </c>
      <c r="AK466" s="57" t="s">
        <v>259</v>
      </c>
      <c r="AL466" s="57"/>
      <c r="AM466" s="57"/>
      <c r="AN466" s="57"/>
      <c r="AO466" s="57"/>
      <c r="AP466" s="57"/>
      <c r="AQ466" s="57"/>
      <c r="AR466" s="57"/>
      <c r="AS466" s="49"/>
      <c r="AT466" s="229"/>
      <c r="AU466" s="229"/>
      <c r="AV466" s="229"/>
      <c r="AW466" s="229"/>
      <c r="AX466" s="229"/>
      <c r="AY466" s="274"/>
      <c r="AZ466" s="274"/>
      <c r="BA466" s="274"/>
      <c r="BB466" s="46"/>
      <c r="BC466" s="229"/>
      <c r="BD466" s="229"/>
      <c r="BE466" s="57"/>
      <c r="BF466" s="57"/>
      <c r="BG466" s="48" t="s">
        <v>3665</v>
      </c>
      <c r="BH466" s="48" t="s">
        <v>3665</v>
      </c>
      <c r="BI466" s="48" t="s">
        <v>3665</v>
      </c>
      <c r="BJ466" s="48"/>
      <c r="BK466" s="49">
        <v>1</v>
      </c>
    </row>
    <row x14ac:dyDescent="0.25" r="467" customHeight="1" ht="31.5">
      <c r="A467" s="229" t="s">
        <v>896</v>
      </c>
      <c r="B467" s="277" t="s">
        <v>896</v>
      </c>
      <c r="C467" s="57" t="s">
        <v>3666</v>
      </c>
      <c r="D467" s="48"/>
      <c r="E467" s="57"/>
      <c r="F467" s="57" t="s">
        <v>282</v>
      </c>
      <c r="G467" s="57" t="s">
        <v>386</v>
      </c>
      <c r="H467" s="57" t="s">
        <v>386</v>
      </c>
      <c r="I467" s="57" t="s">
        <v>386</v>
      </c>
      <c r="J467" s="57" t="s">
        <v>386</v>
      </c>
      <c r="K467" s="57"/>
      <c r="L467" s="57"/>
      <c r="M467" s="57" t="s">
        <v>231</v>
      </c>
      <c r="N467" s="57"/>
      <c r="O467" s="276"/>
      <c r="P467" s="57"/>
      <c r="Q467" s="277" t="s">
        <v>251</v>
      </c>
      <c r="R467" s="48"/>
      <c r="S467" s="48"/>
      <c r="T467" s="57" t="s">
        <v>3642</v>
      </c>
      <c r="U467" s="48" t="s">
        <v>3666</v>
      </c>
      <c r="V467" s="57"/>
      <c r="W467" s="274"/>
      <c r="X467" s="48"/>
      <c r="Y467" s="57"/>
      <c r="Z467" s="274"/>
      <c r="AA467" s="48"/>
      <c r="AB467" s="57" t="s">
        <v>3667</v>
      </c>
      <c r="AC467" s="57" t="s">
        <v>64</v>
      </c>
      <c r="AD467" s="57" t="s">
        <v>259</v>
      </c>
      <c r="AE467" s="280" t="s">
        <v>3664</v>
      </c>
      <c r="AF467" s="57" t="s">
        <v>3667</v>
      </c>
      <c r="AG467" s="57"/>
      <c r="AH467" s="57"/>
      <c r="AI467" s="57"/>
      <c r="AJ467" s="57" t="s">
        <v>262</v>
      </c>
      <c r="AK467" s="57" t="s">
        <v>259</v>
      </c>
      <c r="AL467" s="57"/>
      <c r="AM467" s="57"/>
      <c r="AN467" s="57"/>
      <c r="AO467" s="57"/>
      <c r="AP467" s="57"/>
      <c r="AQ467" s="57"/>
      <c r="AR467" s="57"/>
      <c r="AS467" s="49"/>
      <c r="AT467" s="229"/>
      <c r="AU467" s="229"/>
      <c r="AV467" s="229"/>
      <c r="AW467" s="229"/>
      <c r="AX467" s="229"/>
      <c r="AY467" s="274"/>
      <c r="AZ467" s="274"/>
      <c r="BA467" s="274"/>
      <c r="BB467" s="46"/>
      <c r="BC467" s="229"/>
      <c r="BD467" s="229"/>
      <c r="BE467" s="57"/>
      <c r="BF467" s="57"/>
      <c r="BG467" s="48" t="s">
        <v>3666</v>
      </c>
      <c r="BH467" s="48" t="s">
        <v>3666</v>
      </c>
      <c r="BI467" s="48" t="s">
        <v>3666</v>
      </c>
      <c r="BJ467" s="48"/>
      <c r="BK467" s="49">
        <v>1</v>
      </c>
    </row>
    <row x14ac:dyDescent="0.25" r="468" customHeight="1" ht="31.5">
      <c r="A468" s="229" t="s">
        <v>896</v>
      </c>
      <c r="B468" s="277" t="s">
        <v>896</v>
      </c>
      <c r="C468" s="57" t="s">
        <v>3668</v>
      </c>
      <c r="D468" s="48"/>
      <c r="E468" s="57"/>
      <c r="F468" s="57" t="s">
        <v>282</v>
      </c>
      <c r="G468" s="57" t="s">
        <v>386</v>
      </c>
      <c r="H468" s="57" t="s">
        <v>386</v>
      </c>
      <c r="I468" s="57" t="s">
        <v>386</v>
      </c>
      <c r="J468" s="57" t="s">
        <v>386</v>
      </c>
      <c r="K468" s="57"/>
      <c r="L468" s="57"/>
      <c r="M468" s="57" t="s">
        <v>231</v>
      </c>
      <c r="N468" s="57"/>
      <c r="O468" s="276"/>
      <c r="P468" s="57"/>
      <c r="Q468" s="277" t="s">
        <v>251</v>
      </c>
      <c r="R468" s="48"/>
      <c r="S468" s="48"/>
      <c r="T468" s="57" t="s">
        <v>3642</v>
      </c>
      <c r="U468" s="48" t="s">
        <v>3668</v>
      </c>
      <c r="V468" s="57"/>
      <c r="W468" s="274"/>
      <c r="X468" s="48"/>
      <c r="Y468" s="57"/>
      <c r="Z468" s="274"/>
      <c r="AA468" s="48"/>
      <c r="AB468" s="57" t="s">
        <v>3669</v>
      </c>
      <c r="AC468" s="57" t="s">
        <v>64</v>
      </c>
      <c r="AD468" s="57" t="s">
        <v>259</v>
      </c>
      <c r="AE468" s="280" t="s">
        <v>3664</v>
      </c>
      <c r="AF468" s="57" t="s">
        <v>3669</v>
      </c>
      <c r="AG468" s="57"/>
      <c r="AH468" s="57"/>
      <c r="AI468" s="57"/>
      <c r="AJ468" s="57" t="s">
        <v>262</v>
      </c>
      <c r="AK468" s="57" t="s">
        <v>259</v>
      </c>
      <c r="AL468" s="57"/>
      <c r="AM468" s="57"/>
      <c r="AN468" s="57"/>
      <c r="AO468" s="57"/>
      <c r="AP468" s="57"/>
      <c r="AQ468" s="57"/>
      <c r="AR468" s="57"/>
      <c r="AS468" s="49"/>
      <c r="AT468" s="229"/>
      <c r="AU468" s="229"/>
      <c r="AV468" s="229"/>
      <c r="AW468" s="229"/>
      <c r="AX468" s="229"/>
      <c r="AY468" s="274"/>
      <c r="AZ468" s="274"/>
      <c r="BA468" s="274"/>
      <c r="BB468" s="46"/>
      <c r="BC468" s="229"/>
      <c r="BD468" s="229"/>
      <c r="BE468" s="57"/>
      <c r="BF468" s="57"/>
      <c r="BG468" s="48" t="s">
        <v>3668</v>
      </c>
      <c r="BH468" s="48" t="s">
        <v>3668</v>
      </c>
      <c r="BI468" s="48" t="s">
        <v>3668</v>
      </c>
      <c r="BJ468" s="48"/>
      <c r="BK468" s="49">
        <v>1</v>
      </c>
    </row>
    <row x14ac:dyDescent="0.25" r="469" customHeight="1" ht="31.5">
      <c r="A469" s="229" t="s">
        <v>896</v>
      </c>
      <c r="B469" s="277" t="s">
        <v>896</v>
      </c>
      <c r="C469" s="57" t="s">
        <v>3670</v>
      </c>
      <c r="D469" s="48"/>
      <c r="E469" s="57"/>
      <c r="F469" s="57" t="s">
        <v>226</v>
      </c>
      <c r="G469" s="57" t="s">
        <v>386</v>
      </c>
      <c r="H469" s="57" t="s">
        <v>386</v>
      </c>
      <c r="I469" s="57" t="s">
        <v>386</v>
      </c>
      <c r="J469" s="57" t="s">
        <v>386</v>
      </c>
      <c r="K469" s="57"/>
      <c r="L469" s="57"/>
      <c r="M469" s="57" t="s">
        <v>231</v>
      </c>
      <c r="N469" s="57"/>
      <c r="O469" s="276"/>
      <c r="P469" s="57"/>
      <c r="Q469" s="277" t="s">
        <v>251</v>
      </c>
      <c r="R469" s="48"/>
      <c r="S469" s="48"/>
      <c r="T469" s="57" t="s">
        <v>3642</v>
      </c>
      <c r="U469" s="48" t="s">
        <v>3670</v>
      </c>
      <c r="V469" s="57"/>
      <c r="W469" s="274"/>
      <c r="X469" s="48"/>
      <c r="Y469" s="57" t="s">
        <v>256</v>
      </c>
      <c r="Z469" s="274"/>
      <c r="AA469" s="48"/>
      <c r="AB469" s="57" t="s">
        <v>3671</v>
      </c>
      <c r="AC469" s="57" t="s">
        <v>52</v>
      </c>
      <c r="AD469" s="57" t="s">
        <v>259</v>
      </c>
      <c r="AE469" s="280" t="s">
        <v>3664</v>
      </c>
      <c r="AF469" s="57" t="s">
        <v>3671</v>
      </c>
      <c r="AG469" s="57"/>
      <c r="AH469" s="57"/>
      <c r="AI469" s="57"/>
      <c r="AJ469" s="57" t="s">
        <v>262</v>
      </c>
      <c r="AK469" s="57" t="s">
        <v>259</v>
      </c>
      <c r="AL469" s="57"/>
      <c r="AM469" s="57"/>
      <c r="AN469" s="57"/>
      <c r="AO469" s="57"/>
      <c r="AP469" s="57"/>
      <c r="AQ469" s="57"/>
      <c r="AR469" s="57"/>
      <c r="AS469" s="49"/>
      <c r="AT469" s="229"/>
      <c r="AU469" s="229"/>
      <c r="AV469" s="229"/>
      <c r="AW469" s="229"/>
      <c r="AX469" s="229"/>
      <c r="AY469" s="274"/>
      <c r="AZ469" s="274"/>
      <c r="BA469" s="274"/>
      <c r="BB469" s="46"/>
      <c r="BC469" s="229"/>
      <c r="BD469" s="229"/>
      <c r="BE469" s="57"/>
      <c r="BF469" s="57"/>
      <c r="BG469" s="48" t="s">
        <v>3670</v>
      </c>
      <c r="BH469" s="48" t="s">
        <v>3670</v>
      </c>
      <c r="BI469" s="48" t="s">
        <v>3670</v>
      </c>
      <c r="BJ469" s="48"/>
      <c r="BK469" s="49">
        <v>1</v>
      </c>
    </row>
    <row x14ac:dyDescent="0.25" r="470" customHeight="1" ht="31.5">
      <c r="A470" s="49" t="s">
        <v>896</v>
      </c>
      <c r="B470" s="57" t="s">
        <v>896</v>
      </c>
      <c r="C470" s="48" t="s">
        <v>3672</v>
      </c>
      <c r="D470" s="48" t="s">
        <v>3672</v>
      </c>
      <c r="E470" s="57"/>
      <c r="F470" s="57" t="s">
        <v>1763</v>
      </c>
      <c r="G470" s="57" t="s">
        <v>1030</v>
      </c>
      <c r="H470" s="48" t="s">
        <v>1031</v>
      </c>
      <c r="I470" s="275"/>
      <c r="J470" s="275"/>
      <c r="K470" s="57"/>
      <c r="L470" s="57"/>
      <c r="M470" s="57" t="s">
        <v>820</v>
      </c>
      <c r="N470" s="57" t="s">
        <v>1024</v>
      </c>
      <c r="O470" s="276"/>
      <c r="P470" s="57"/>
      <c r="Q470" s="277" t="s">
        <v>251</v>
      </c>
      <c r="R470" s="48" t="s">
        <v>252</v>
      </c>
      <c r="S470" s="48"/>
      <c r="T470" s="48"/>
      <c r="U470" s="48" t="s">
        <v>3673</v>
      </c>
      <c r="V470" s="57"/>
      <c r="W470" s="274"/>
      <c r="X470" s="48"/>
      <c r="Y470" s="57"/>
      <c r="Z470" s="281"/>
      <c r="AA470" s="48" t="s">
        <v>3672</v>
      </c>
      <c r="AB470" s="48" t="s">
        <v>3674</v>
      </c>
      <c r="AC470" s="57" t="s">
        <v>76</v>
      </c>
      <c r="AD470" s="48" t="s">
        <v>259</v>
      </c>
      <c r="AE470" s="280" t="s">
        <v>1036</v>
      </c>
      <c r="AF470" s="48" t="s">
        <v>3674</v>
      </c>
      <c r="AG470" s="48"/>
      <c r="AH470" s="48"/>
      <c r="AI470" s="48" t="s">
        <v>1038</v>
      </c>
      <c r="AJ470" s="57" t="s">
        <v>262</v>
      </c>
      <c r="AK470" s="57" t="s">
        <v>259</v>
      </c>
      <c r="AL470" s="48"/>
      <c r="AM470" s="48"/>
      <c r="AN470" s="48"/>
      <c r="AO470" s="48" t="s">
        <v>259</v>
      </c>
      <c r="AP470" s="48" t="s">
        <v>3675</v>
      </c>
      <c r="AQ470" s="48"/>
      <c r="AR470" s="48"/>
      <c r="AS470" s="49"/>
      <c r="AT470" s="229"/>
      <c r="AU470" s="229"/>
      <c r="AV470" s="229"/>
      <c r="AW470" s="229"/>
      <c r="AX470" s="229"/>
      <c r="AY470" s="274"/>
      <c r="AZ470" s="274"/>
      <c r="BA470" s="274"/>
      <c r="BB470" s="46"/>
      <c r="BC470" s="229"/>
      <c r="BD470" s="229"/>
      <c r="BE470" s="57"/>
      <c r="BF470" s="57"/>
      <c r="BG470" s="131" t="s">
        <v>3672</v>
      </c>
      <c r="BH470" s="131" t="s">
        <v>3672</v>
      </c>
      <c r="BI470" s="131" t="s">
        <v>3672</v>
      </c>
      <c r="BJ470" s="60"/>
      <c r="BK470" s="49">
        <v>1</v>
      </c>
    </row>
    <row x14ac:dyDescent="0.25" r="471" customHeight="1" ht="31.5">
      <c r="A471" s="229" t="s">
        <v>896</v>
      </c>
      <c r="B471" s="277" t="s">
        <v>896</v>
      </c>
      <c r="C471" s="5" t="s">
        <v>3676</v>
      </c>
      <c r="D471" s="31"/>
      <c r="E471" s="5"/>
      <c r="F471" s="282" t="s">
        <v>3677</v>
      </c>
      <c r="G471" s="5" t="s">
        <v>1329</v>
      </c>
      <c r="H471" s="31" t="s">
        <v>799</v>
      </c>
      <c r="I471" s="31"/>
      <c r="J471" s="31"/>
      <c r="K471" s="5"/>
      <c r="L471" s="5"/>
      <c r="M471" s="5"/>
      <c r="N471" s="5"/>
      <c r="O471" s="33"/>
      <c r="P471" s="5"/>
      <c r="Q471" s="277" t="s">
        <v>251</v>
      </c>
      <c r="R471" s="31" t="s">
        <v>242</v>
      </c>
      <c r="S471" s="31"/>
      <c r="T471" s="31"/>
      <c r="U471" s="282" t="s">
        <v>3676</v>
      </c>
      <c r="V471" s="5"/>
      <c r="W471" s="40">
        <v>1</v>
      </c>
      <c r="X471" s="55" t="s">
        <v>581</v>
      </c>
      <c r="Y471" s="42"/>
      <c r="Z471" s="34">
        <v>0</v>
      </c>
      <c r="AA471" s="31"/>
      <c r="AB471" s="5" t="s">
        <v>3678</v>
      </c>
      <c r="AC471" s="57" t="s">
        <v>76</v>
      </c>
      <c r="AD471" s="5" t="s">
        <v>259</v>
      </c>
      <c r="AE471" s="169" t="s">
        <v>1399</v>
      </c>
      <c r="AF471" s="5" t="s">
        <v>3678</v>
      </c>
      <c r="AG471" s="5"/>
      <c r="AH471" s="5"/>
      <c r="AI471" s="5"/>
      <c r="AJ471" s="5" t="s">
        <v>262</v>
      </c>
      <c r="AK471" s="5" t="s">
        <v>259</v>
      </c>
      <c r="AL471" s="5"/>
      <c r="AM471" s="5"/>
      <c r="AN471" s="5"/>
      <c r="AO471" s="5"/>
      <c r="AP471" s="5"/>
      <c r="AQ471" s="5"/>
      <c r="AR471" s="5"/>
      <c r="AS471" s="61">
        <v>141</v>
      </c>
      <c r="AT471" s="37"/>
      <c r="AU471" s="37"/>
      <c r="AV471" s="37"/>
      <c r="AW471" s="37"/>
      <c r="AX471" s="37"/>
      <c r="AY471" s="38"/>
      <c r="AZ471" s="38"/>
      <c r="BA471" s="38"/>
      <c r="BB471" s="46"/>
      <c r="BC471" s="37"/>
      <c r="BD471" s="37"/>
      <c r="BE471" s="5"/>
      <c r="BF471" s="5"/>
      <c r="BG471" s="31" t="s">
        <v>3676</v>
      </c>
      <c r="BH471" s="31"/>
      <c r="BI471" s="31" t="s">
        <v>3676</v>
      </c>
      <c r="BJ471" s="48" t="s">
        <v>2284</v>
      </c>
      <c r="BK471" s="49">
        <v>1</v>
      </c>
    </row>
    <row x14ac:dyDescent="0.25" r="472" customHeight="1" ht="31.5">
      <c r="A472" s="229" t="s">
        <v>896</v>
      </c>
      <c r="B472" s="277" t="s">
        <v>896</v>
      </c>
      <c r="C472" s="5" t="s">
        <v>3679</v>
      </c>
      <c r="D472" s="31"/>
      <c r="E472" s="5"/>
      <c r="F472" s="283" t="s">
        <v>3680</v>
      </c>
      <c r="G472" s="282" t="s">
        <v>3681</v>
      </c>
      <c r="H472" s="31" t="s">
        <v>3682</v>
      </c>
      <c r="I472" s="31"/>
      <c r="J472" s="31"/>
      <c r="K472" s="5"/>
      <c r="L472" s="5"/>
      <c r="M472" s="5"/>
      <c r="N472" s="5"/>
      <c r="O472" s="33"/>
      <c r="P472" s="5"/>
      <c r="Q472" s="277" t="s">
        <v>251</v>
      </c>
      <c r="R472" s="31" t="s">
        <v>242</v>
      </c>
      <c r="S472" s="31" t="s">
        <v>3683</v>
      </c>
      <c r="T472" s="31"/>
      <c r="U472" s="283" t="s">
        <v>3679</v>
      </c>
      <c r="V472" s="5"/>
      <c r="W472" s="40">
        <v>0</v>
      </c>
      <c r="X472" s="41"/>
      <c r="Y472" s="42"/>
      <c r="Z472" s="38" t="s">
        <v>386</v>
      </c>
      <c r="AA472" s="31"/>
      <c r="AB472" s="5" t="s">
        <v>3684</v>
      </c>
      <c r="AC472" s="5" t="s">
        <v>98</v>
      </c>
      <c r="AD472" s="5" t="s">
        <v>596</v>
      </c>
      <c r="AE472" s="169" t="s">
        <v>1061</v>
      </c>
      <c r="AF472" s="284" t="s">
        <v>3684</v>
      </c>
      <c r="AG472" s="5"/>
      <c r="AH472" s="5"/>
      <c r="AI472" s="5"/>
      <c r="AJ472" s="5" t="s">
        <v>605</v>
      </c>
      <c r="AK472" s="5" t="s">
        <v>596</v>
      </c>
      <c r="AL472" s="5" t="s">
        <v>1063</v>
      </c>
      <c r="AM472" s="5"/>
      <c r="AN472" s="5"/>
      <c r="AO472" s="5"/>
      <c r="AP472" s="5"/>
      <c r="AQ472" s="5" t="s">
        <v>242</v>
      </c>
      <c r="AR472" s="5"/>
      <c r="AS472" s="30"/>
      <c r="AT472" s="37"/>
      <c r="AU472" s="37"/>
      <c r="AV472" s="37"/>
      <c r="AW472" s="37"/>
      <c r="AX472" s="37"/>
      <c r="AY472" s="38"/>
      <c r="AZ472" s="224" t="s">
        <v>906</v>
      </c>
      <c r="BA472" s="38"/>
      <c r="BB472" s="46"/>
      <c r="BC472" s="37"/>
      <c r="BD472" s="37"/>
      <c r="BE472" s="5"/>
      <c r="BF472" s="5"/>
      <c r="BG472" s="31"/>
      <c r="BH472" s="31"/>
      <c r="BI472" s="31"/>
      <c r="BJ472" s="48"/>
      <c r="BK472" s="49"/>
    </row>
    <row x14ac:dyDescent="0.25" r="473" customHeight="1" ht="31.5">
      <c r="A473" s="229" t="s">
        <v>896</v>
      </c>
      <c r="B473" s="277" t="s">
        <v>896</v>
      </c>
      <c r="C473" s="5" t="s">
        <v>3685</v>
      </c>
      <c r="D473" s="31"/>
      <c r="E473" s="5"/>
      <c r="F473" s="283" t="s">
        <v>703</v>
      </c>
      <c r="G473" s="282" t="s">
        <v>3681</v>
      </c>
      <c r="H473" s="31" t="s">
        <v>3686</v>
      </c>
      <c r="I473" s="31"/>
      <c r="J473" s="31"/>
      <c r="K473" s="5"/>
      <c r="L473" s="5"/>
      <c r="M473" s="5"/>
      <c r="N473" s="5"/>
      <c r="O473" s="33"/>
      <c r="P473" s="5"/>
      <c r="Q473" s="277" t="s">
        <v>251</v>
      </c>
      <c r="R473" s="31" t="s">
        <v>242</v>
      </c>
      <c r="S473" s="31" t="s">
        <v>3683</v>
      </c>
      <c r="T473" s="31"/>
      <c r="U473" s="283" t="s">
        <v>3685</v>
      </c>
      <c r="V473" s="5"/>
      <c r="W473" s="40">
        <v>0</v>
      </c>
      <c r="X473" s="41"/>
      <c r="Y473" s="42"/>
      <c r="Z473" s="38" t="s">
        <v>386</v>
      </c>
      <c r="AA473" s="31"/>
      <c r="AB473" s="5" t="s">
        <v>3687</v>
      </c>
      <c r="AC473" s="5" t="s">
        <v>24</v>
      </c>
      <c r="AD473" s="5" t="s">
        <v>596</v>
      </c>
      <c r="AE473" s="169" t="s">
        <v>1061</v>
      </c>
      <c r="AF473" s="5" t="s">
        <v>3687</v>
      </c>
      <c r="AG473" s="5"/>
      <c r="AH473" s="5"/>
      <c r="AI473" s="5"/>
      <c r="AJ473" s="5" t="s">
        <v>605</v>
      </c>
      <c r="AK473" s="5" t="s">
        <v>596</v>
      </c>
      <c r="AL473" s="5" t="s">
        <v>1063</v>
      </c>
      <c r="AM473" s="5"/>
      <c r="AN473" s="5"/>
      <c r="AO473" s="5"/>
      <c r="AP473" s="5"/>
      <c r="AQ473" s="5" t="s">
        <v>242</v>
      </c>
      <c r="AR473" s="5"/>
      <c r="AS473" s="30"/>
      <c r="AT473" s="37"/>
      <c r="AU473" s="37"/>
      <c r="AV473" s="37"/>
      <c r="AW473" s="37"/>
      <c r="AX473" s="37"/>
      <c r="AY473" s="38"/>
      <c r="AZ473" s="224" t="s">
        <v>906</v>
      </c>
      <c r="BA473" s="38"/>
      <c r="BB473" s="46"/>
      <c r="BC473" s="37"/>
      <c r="BD473" s="37"/>
      <c r="BE473" s="5"/>
      <c r="BF473" s="5"/>
      <c r="BG473" s="31"/>
      <c r="BH473" s="31"/>
      <c r="BI473" s="31"/>
      <c r="BJ473" s="48"/>
      <c r="BK473" s="49"/>
    </row>
    <row x14ac:dyDescent="0.25" r="474" customHeight="1" ht="31.5">
      <c r="A474" s="229" t="s">
        <v>896</v>
      </c>
      <c r="B474" s="277" t="s">
        <v>896</v>
      </c>
      <c r="C474" s="5" t="s">
        <v>3688</v>
      </c>
      <c r="D474" s="31"/>
      <c r="E474" s="5"/>
      <c r="F474" s="283" t="s">
        <v>703</v>
      </c>
      <c r="G474" s="282" t="s">
        <v>3681</v>
      </c>
      <c r="H474" s="31" t="s">
        <v>3689</v>
      </c>
      <c r="I474" s="31"/>
      <c r="J474" s="31"/>
      <c r="K474" s="5"/>
      <c r="L474" s="5"/>
      <c r="M474" s="5"/>
      <c r="N474" s="5"/>
      <c r="O474" s="33"/>
      <c r="P474" s="5"/>
      <c r="Q474" s="277" t="s">
        <v>251</v>
      </c>
      <c r="R474" s="31" t="s">
        <v>242</v>
      </c>
      <c r="S474" s="31" t="s">
        <v>3690</v>
      </c>
      <c r="T474" s="31"/>
      <c r="U474" s="283" t="s">
        <v>3688</v>
      </c>
      <c r="V474" s="5"/>
      <c r="W474" s="40">
        <v>0</v>
      </c>
      <c r="X474" s="41"/>
      <c r="Y474" s="42"/>
      <c r="Z474" s="38" t="s">
        <v>386</v>
      </c>
      <c r="AA474" s="31"/>
      <c r="AB474" s="5" t="s">
        <v>3691</v>
      </c>
      <c r="AC474" s="5" t="s">
        <v>24</v>
      </c>
      <c r="AD474" s="5" t="s">
        <v>596</v>
      </c>
      <c r="AE474" s="169" t="s">
        <v>3692</v>
      </c>
      <c r="AF474" s="5" t="s">
        <v>3691</v>
      </c>
      <c r="AG474" s="5"/>
      <c r="AH474" s="5"/>
      <c r="AI474" s="5"/>
      <c r="AJ474" s="5" t="s">
        <v>605</v>
      </c>
      <c r="AK474" s="5" t="s">
        <v>596</v>
      </c>
      <c r="AL474" s="5" t="s">
        <v>1063</v>
      </c>
      <c r="AM474" s="5"/>
      <c r="AN474" s="5"/>
      <c r="AO474" s="5"/>
      <c r="AP474" s="5"/>
      <c r="AQ474" s="5" t="s">
        <v>242</v>
      </c>
      <c r="AR474" s="5"/>
      <c r="AS474" s="30"/>
      <c r="AT474" s="37"/>
      <c r="AU474" s="37"/>
      <c r="AV474" s="37"/>
      <c r="AW474" s="37"/>
      <c r="AX474" s="37"/>
      <c r="AY474" s="38"/>
      <c r="AZ474" s="224" t="s">
        <v>906</v>
      </c>
      <c r="BA474" s="38"/>
      <c r="BB474" s="46"/>
      <c r="BC474" s="37"/>
      <c r="BD474" s="37"/>
      <c r="BE474" s="5"/>
      <c r="BF474" s="5"/>
      <c r="BG474" s="31"/>
      <c r="BH474" s="31"/>
      <c r="BI474" s="31"/>
      <c r="BJ474" s="48"/>
      <c r="BK474" s="49"/>
    </row>
    <row x14ac:dyDescent="0.25" r="475" customHeight="1" ht="31.5">
      <c r="A475" s="229" t="s">
        <v>896</v>
      </c>
      <c r="B475" s="277" t="s">
        <v>896</v>
      </c>
      <c r="C475" s="5" t="s">
        <v>3693</v>
      </c>
      <c r="D475" s="31"/>
      <c r="E475" s="5"/>
      <c r="F475" s="283" t="s">
        <v>3694</v>
      </c>
      <c r="G475" s="282" t="s">
        <v>3681</v>
      </c>
      <c r="H475" s="31" t="s">
        <v>386</v>
      </c>
      <c r="I475" s="31"/>
      <c r="J475" s="31"/>
      <c r="K475" s="5"/>
      <c r="L475" s="5"/>
      <c r="M475" s="5"/>
      <c r="N475" s="5"/>
      <c r="O475" s="33"/>
      <c r="P475" s="5"/>
      <c r="Q475" s="277" t="s">
        <v>251</v>
      </c>
      <c r="R475" s="31" t="s">
        <v>242</v>
      </c>
      <c r="S475" s="31" t="s">
        <v>3690</v>
      </c>
      <c r="T475" s="31"/>
      <c r="U475" s="283" t="s">
        <v>3693</v>
      </c>
      <c r="V475" s="5"/>
      <c r="W475" s="40">
        <v>0</v>
      </c>
      <c r="X475" s="41"/>
      <c r="Y475" s="42"/>
      <c r="Z475" s="34">
        <v>0</v>
      </c>
      <c r="AA475" s="31"/>
      <c r="AB475" s="5" t="s">
        <v>3695</v>
      </c>
      <c r="AC475" s="5" t="s">
        <v>98</v>
      </c>
      <c r="AD475" s="5" t="s">
        <v>596</v>
      </c>
      <c r="AE475" s="169" t="s">
        <v>595</v>
      </c>
      <c r="AF475" s="5" t="s">
        <v>3695</v>
      </c>
      <c r="AG475" s="5"/>
      <c r="AH475" s="5"/>
      <c r="AI475" s="5"/>
      <c r="AJ475" s="5" t="s">
        <v>605</v>
      </c>
      <c r="AK475" s="5" t="s">
        <v>596</v>
      </c>
      <c r="AL475" s="5" t="s">
        <v>1063</v>
      </c>
      <c r="AM475" s="5"/>
      <c r="AN475" s="5"/>
      <c r="AO475" s="5"/>
      <c r="AP475" s="5"/>
      <c r="AQ475" s="5" t="s">
        <v>242</v>
      </c>
      <c r="AR475" s="5"/>
      <c r="AS475" s="30"/>
      <c r="AT475" s="37"/>
      <c r="AU475" s="37"/>
      <c r="AV475" s="37"/>
      <c r="AW475" s="37"/>
      <c r="AX475" s="37"/>
      <c r="AY475" s="38"/>
      <c r="AZ475" s="224" t="s">
        <v>906</v>
      </c>
      <c r="BA475" s="38"/>
      <c r="BB475" s="46"/>
      <c r="BC475" s="37"/>
      <c r="BD475" s="37"/>
      <c r="BE475" s="5"/>
      <c r="BF475" s="5"/>
      <c r="BG475" s="31"/>
      <c r="BH475" s="31"/>
      <c r="BI475" s="31"/>
      <c r="BJ475" s="48"/>
      <c r="BK475" s="49"/>
    </row>
    <row x14ac:dyDescent="0.25" r="476" customHeight="1" ht="31.5">
      <c r="A476" s="229" t="s">
        <v>896</v>
      </c>
      <c r="B476" s="277" t="s">
        <v>896</v>
      </c>
      <c r="C476" s="5" t="s">
        <v>3696</v>
      </c>
      <c r="D476" s="31"/>
      <c r="E476" s="5"/>
      <c r="F476" s="283" t="s">
        <v>703</v>
      </c>
      <c r="G476" s="282" t="s">
        <v>3681</v>
      </c>
      <c r="H476" s="31" t="s">
        <v>386</v>
      </c>
      <c r="I476" s="31"/>
      <c r="J476" s="31"/>
      <c r="K476" s="5"/>
      <c r="L476" s="5"/>
      <c r="M476" s="5"/>
      <c r="N476" s="5"/>
      <c r="O476" s="33"/>
      <c r="P476" s="5"/>
      <c r="Q476" s="277" t="s">
        <v>251</v>
      </c>
      <c r="R476" s="31" t="s">
        <v>3697</v>
      </c>
      <c r="S476" s="31" t="s">
        <v>386</v>
      </c>
      <c r="T476" s="31"/>
      <c r="U476" s="283" t="s">
        <v>3696</v>
      </c>
      <c r="V476" s="5"/>
      <c r="W476" s="40">
        <v>0</v>
      </c>
      <c r="X476" s="41"/>
      <c r="Y476" s="42"/>
      <c r="Z476" s="38" t="s">
        <v>386</v>
      </c>
      <c r="AA476" s="31"/>
      <c r="AB476" s="5" t="s">
        <v>3698</v>
      </c>
      <c r="AC476" s="5" t="s">
        <v>24</v>
      </c>
      <c r="AD476" s="5" t="s">
        <v>596</v>
      </c>
      <c r="AE476" s="169" t="s">
        <v>595</v>
      </c>
      <c r="AF476" s="5" t="s">
        <v>3698</v>
      </c>
      <c r="AG476" s="5"/>
      <c r="AH476" s="5"/>
      <c r="AI476" s="5"/>
      <c r="AJ476" s="5" t="s">
        <v>605</v>
      </c>
      <c r="AK476" s="5" t="s">
        <v>596</v>
      </c>
      <c r="AL476" s="5" t="s">
        <v>1063</v>
      </c>
      <c r="AM476" s="5"/>
      <c r="AN476" s="5"/>
      <c r="AO476" s="5"/>
      <c r="AP476" s="5"/>
      <c r="AQ476" s="5" t="s">
        <v>242</v>
      </c>
      <c r="AR476" s="5"/>
      <c r="AS476" s="30"/>
      <c r="AT476" s="37"/>
      <c r="AU476" s="37"/>
      <c r="AV476" s="37"/>
      <c r="AW476" s="37"/>
      <c r="AX476" s="37"/>
      <c r="AY476" s="38"/>
      <c r="AZ476" s="224" t="s">
        <v>906</v>
      </c>
      <c r="BA476" s="38"/>
      <c r="BB476" s="46"/>
      <c r="BC476" s="37"/>
      <c r="BD476" s="37"/>
      <c r="BE476" s="5"/>
      <c r="BF476" s="5"/>
      <c r="BG476" s="31"/>
      <c r="BH476" s="31"/>
      <c r="BI476" s="31"/>
      <c r="BJ476" s="48"/>
      <c r="BK476" s="49"/>
    </row>
    <row x14ac:dyDescent="0.25" r="477" customHeight="1" ht="31.5">
      <c r="A477" s="229" t="s">
        <v>896</v>
      </c>
      <c r="B477" s="277" t="s">
        <v>896</v>
      </c>
      <c r="C477" s="5" t="s">
        <v>3699</v>
      </c>
      <c r="D477" s="31"/>
      <c r="E477" s="5"/>
      <c r="F477" s="283" t="s">
        <v>3694</v>
      </c>
      <c r="G477" s="282" t="s">
        <v>3681</v>
      </c>
      <c r="H477" s="31" t="s">
        <v>386</v>
      </c>
      <c r="I477" s="31"/>
      <c r="J477" s="31"/>
      <c r="K477" s="5"/>
      <c r="L477" s="5"/>
      <c r="M477" s="5"/>
      <c r="N477" s="5"/>
      <c r="O477" s="33"/>
      <c r="P477" s="5"/>
      <c r="Q477" s="277" t="s">
        <v>251</v>
      </c>
      <c r="R477" s="31" t="s">
        <v>242</v>
      </c>
      <c r="S477" s="31" t="s">
        <v>3690</v>
      </c>
      <c r="T477" s="31"/>
      <c r="U477" s="283" t="s">
        <v>3700</v>
      </c>
      <c r="V477" s="5"/>
      <c r="W477" s="40">
        <v>0</v>
      </c>
      <c r="X477" s="41"/>
      <c r="Y477" s="42"/>
      <c r="Z477" s="38" t="s">
        <v>386</v>
      </c>
      <c r="AA477" s="31"/>
      <c r="AB477" s="5" t="s">
        <v>3701</v>
      </c>
      <c r="AC477" s="5" t="s">
        <v>98</v>
      </c>
      <c r="AD477" s="5" t="s">
        <v>596</v>
      </c>
      <c r="AE477" s="169" t="s">
        <v>595</v>
      </c>
      <c r="AF477" s="5" t="s">
        <v>3701</v>
      </c>
      <c r="AG477" s="5"/>
      <c r="AH477" s="5"/>
      <c r="AI477" s="5"/>
      <c r="AJ477" s="5" t="s">
        <v>605</v>
      </c>
      <c r="AK477" s="5" t="s">
        <v>596</v>
      </c>
      <c r="AL477" s="5" t="s">
        <v>1063</v>
      </c>
      <c r="AM477" s="5"/>
      <c r="AN477" s="5"/>
      <c r="AO477" s="5"/>
      <c r="AP477" s="5"/>
      <c r="AQ477" s="5" t="s">
        <v>242</v>
      </c>
      <c r="AR477" s="5"/>
      <c r="AS477" s="30"/>
      <c r="AT477" s="37"/>
      <c r="AU477" s="37"/>
      <c r="AV477" s="37"/>
      <c r="AW477" s="37"/>
      <c r="AX477" s="37"/>
      <c r="AY477" s="38"/>
      <c r="AZ477" s="224" t="s">
        <v>906</v>
      </c>
      <c r="BA477" s="38"/>
      <c r="BB477" s="46"/>
      <c r="BC477" s="37"/>
      <c r="BD477" s="37"/>
      <c r="BE477" s="5"/>
      <c r="BF477" s="5"/>
      <c r="BG477" s="31"/>
      <c r="BH477" s="31"/>
      <c r="BI477" s="31"/>
      <c r="BJ477" s="48"/>
      <c r="BK477" s="49"/>
    </row>
    <row x14ac:dyDescent="0.25" r="478" customHeight="1" ht="31.5">
      <c r="A478" s="229" t="s">
        <v>896</v>
      </c>
      <c r="B478" s="277" t="s">
        <v>896</v>
      </c>
      <c r="C478" s="5" t="s">
        <v>3702</v>
      </c>
      <c r="D478" s="31"/>
      <c r="E478" s="5"/>
      <c r="F478" s="283" t="s">
        <v>3694</v>
      </c>
      <c r="G478" s="282" t="s">
        <v>3681</v>
      </c>
      <c r="H478" s="31" t="s">
        <v>386</v>
      </c>
      <c r="I478" s="31"/>
      <c r="J478" s="31"/>
      <c r="K478" s="5"/>
      <c r="L478" s="5"/>
      <c r="M478" s="5"/>
      <c r="N478" s="5"/>
      <c r="O478" s="33"/>
      <c r="P478" s="5"/>
      <c r="Q478" s="277" t="s">
        <v>251</v>
      </c>
      <c r="R478" s="31" t="s">
        <v>242</v>
      </c>
      <c r="S478" s="31" t="s">
        <v>3690</v>
      </c>
      <c r="T478" s="31"/>
      <c r="U478" s="283" t="s">
        <v>3702</v>
      </c>
      <c r="V478" s="5"/>
      <c r="W478" s="40">
        <v>0</v>
      </c>
      <c r="X478" s="41"/>
      <c r="Y478" s="42"/>
      <c r="Z478" s="38" t="s">
        <v>386</v>
      </c>
      <c r="AA478" s="31"/>
      <c r="AB478" s="5" t="s">
        <v>3703</v>
      </c>
      <c r="AC478" s="5" t="s">
        <v>98</v>
      </c>
      <c r="AD478" s="5" t="s">
        <v>596</v>
      </c>
      <c r="AE478" s="169" t="s">
        <v>3692</v>
      </c>
      <c r="AF478" s="5" t="s">
        <v>3703</v>
      </c>
      <c r="AG478" s="5"/>
      <c r="AH478" s="5"/>
      <c r="AI478" s="5"/>
      <c r="AJ478" s="5" t="s">
        <v>605</v>
      </c>
      <c r="AK478" s="5" t="s">
        <v>596</v>
      </c>
      <c r="AL478" s="5" t="s">
        <v>1063</v>
      </c>
      <c r="AM478" s="5"/>
      <c r="AN478" s="5"/>
      <c r="AO478" s="5"/>
      <c r="AP478" s="5"/>
      <c r="AQ478" s="5" t="s">
        <v>242</v>
      </c>
      <c r="AR478" s="5"/>
      <c r="AS478" s="30"/>
      <c r="AT478" s="37"/>
      <c r="AU478" s="37"/>
      <c r="AV478" s="37"/>
      <c r="AW478" s="37"/>
      <c r="AX478" s="37"/>
      <c r="AY478" s="38"/>
      <c r="AZ478" s="224" t="s">
        <v>906</v>
      </c>
      <c r="BA478" s="38"/>
      <c r="BB478" s="46"/>
      <c r="BC478" s="37"/>
      <c r="BD478" s="37"/>
      <c r="BE478" s="5"/>
      <c r="BF478" s="5"/>
      <c r="BG478" s="31"/>
      <c r="BH478" s="31"/>
      <c r="BI478" s="31"/>
      <c r="BJ478" s="48"/>
      <c r="BK478" s="49"/>
    </row>
    <row x14ac:dyDescent="0.25" r="479" customHeight="1" ht="31.5">
      <c r="A479" s="229" t="s">
        <v>896</v>
      </c>
      <c r="B479" s="277" t="s">
        <v>896</v>
      </c>
      <c r="C479" s="5" t="s">
        <v>3704</v>
      </c>
      <c r="D479" s="31"/>
      <c r="E479" s="5"/>
      <c r="F479" s="283" t="s">
        <v>3705</v>
      </c>
      <c r="G479" s="282" t="s">
        <v>3681</v>
      </c>
      <c r="H479" s="31"/>
      <c r="I479" s="31"/>
      <c r="J479" s="31"/>
      <c r="K479" s="5"/>
      <c r="L479" s="5"/>
      <c r="M479" s="5"/>
      <c r="N479" s="5"/>
      <c r="O479" s="33"/>
      <c r="P479" s="5"/>
      <c r="Q479" s="277" t="s">
        <v>251</v>
      </c>
      <c r="R479" s="31" t="s">
        <v>242</v>
      </c>
      <c r="S479" s="31" t="s">
        <v>3690</v>
      </c>
      <c r="T479" s="31"/>
      <c r="U479" s="283" t="s">
        <v>3706</v>
      </c>
      <c r="V479" s="5"/>
      <c r="W479" s="40">
        <v>0</v>
      </c>
      <c r="X479" s="41"/>
      <c r="Y479" s="42"/>
      <c r="Z479" s="38" t="s">
        <v>386</v>
      </c>
      <c r="AA479" s="31"/>
      <c r="AB479" s="5" t="s">
        <v>3707</v>
      </c>
      <c r="AC479" s="5" t="s">
        <v>88</v>
      </c>
      <c r="AD479" s="5" t="s">
        <v>596</v>
      </c>
      <c r="AE479" s="169" t="s">
        <v>3692</v>
      </c>
      <c r="AF479" s="5" t="s">
        <v>3707</v>
      </c>
      <c r="AG479" s="5"/>
      <c r="AH479" s="5"/>
      <c r="AI479" s="5"/>
      <c r="AJ479" s="5" t="s">
        <v>605</v>
      </c>
      <c r="AK479" s="5" t="s">
        <v>596</v>
      </c>
      <c r="AL479" s="5" t="s">
        <v>1063</v>
      </c>
      <c r="AM479" s="5"/>
      <c r="AN479" s="5"/>
      <c r="AO479" s="5"/>
      <c r="AP479" s="5"/>
      <c r="AQ479" s="5" t="s">
        <v>242</v>
      </c>
      <c r="AR479" s="5"/>
      <c r="AS479" s="30"/>
      <c r="AT479" s="37"/>
      <c r="AU479" s="37"/>
      <c r="AV479" s="37"/>
      <c r="AW479" s="37"/>
      <c r="AX479" s="37"/>
      <c r="AY479" s="38"/>
      <c r="AZ479" s="224" t="s">
        <v>906</v>
      </c>
      <c r="BA479" s="38"/>
      <c r="BB479" s="46"/>
      <c r="BC479" s="37"/>
      <c r="BD479" s="37"/>
      <c r="BE479" s="5"/>
      <c r="BF479" s="5"/>
      <c r="BG479" s="31"/>
      <c r="BH479" s="31"/>
      <c r="BI479" s="31"/>
      <c r="BJ479" s="48"/>
      <c r="BK479" s="49"/>
    </row>
    <row x14ac:dyDescent="0.25" r="480" customHeight="1" ht="31.5">
      <c r="A480" s="229" t="s">
        <v>896</v>
      </c>
      <c r="B480" s="277" t="s">
        <v>896</v>
      </c>
      <c r="C480" s="5" t="s">
        <v>3708</v>
      </c>
      <c r="D480" s="31"/>
      <c r="E480" s="5"/>
      <c r="F480" s="283" t="s">
        <v>3705</v>
      </c>
      <c r="G480" s="282" t="s">
        <v>3681</v>
      </c>
      <c r="H480" s="31"/>
      <c r="I480" s="31"/>
      <c r="J480" s="31"/>
      <c r="K480" s="5"/>
      <c r="L480" s="5"/>
      <c r="M480" s="5"/>
      <c r="N480" s="5"/>
      <c r="O480" s="33"/>
      <c r="P480" s="5"/>
      <c r="Q480" s="277" t="s">
        <v>251</v>
      </c>
      <c r="R480" s="31" t="s">
        <v>242</v>
      </c>
      <c r="S480" s="31" t="s">
        <v>3690</v>
      </c>
      <c r="T480" s="31"/>
      <c r="U480" s="283" t="s">
        <v>3709</v>
      </c>
      <c r="V480" s="5"/>
      <c r="W480" s="40">
        <v>0</v>
      </c>
      <c r="X480" s="41"/>
      <c r="Y480" s="42"/>
      <c r="Z480" s="38" t="s">
        <v>386</v>
      </c>
      <c r="AA480" s="31"/>
      <c r="AB480" s="5" t="s">
        <v>3710</v>
      </c>
      <c r="AC480" s="5" t="s">
        <v>88</v>
      </c>
      <c r="AD480" s="5" t="s">
        <v>596</v>
      </c>
      <c r="AE480" s="169" t="s">
        <v>3692</v>
      </c>
      <c r="AF480" s="5" t="s">
        <v>3710</v>
      </c>
      <c r="AG480" s="5"/>
      <c r="AH480" s="5"/>
      <c r="AI480" s="5"/>
      <c r="AJ480" s="5" t="s">
        <v>605</v>
      </c>
      <c r="AK480" s="5" t="s">
        <v>596</v>
      </c>
      <c r="AL480" s="5" t="s">
        <v>1063</v>
      </c>
      <c r="AM480" s="5"/>
      <c r="AN480" s="5"/>
      <c r="AO480" s="5"/>
      <c r="AP480" s="5"/>
      <c r="AQ480" s="5" t="s">
        <v>242</v>
      </c>
      <c r="AR480" s="5"/>
      <c r="AS480" s="30"/>
      <c r="AT480" s="37"/>
      <c r="AU480" s="37"/>
      <c r="AV480" s="37"/>
      <c r="AW480" s="37"/>
      <c r="AX480" s="37"/>
      <c r="AY480" s="38"/>
      <c r="AZ480" s="224" t="s">
        <v>906</v>
      </c>
      <c r="BA480" s="38"/>
      <c r="BB480" s="46"/>
      <c r="BC480" s="37"/>
      <c r="BD480" s="37"/>
      <c r="BE480" s="5"/>
      <c r="BF480" s="5"/>
      <c r="BG480" s="31"/>
      <c r="BH480" s="31"/>
      <c r="BI480" s="31"/>
      <c r="BJ480" s="48"/>
      <c r="BK480" s="49"/>
    </row>
    <row x14ac:dyDescent="0.25" r="481" customHeight="1" ht="31.5">
      <c r="A481" s="229" t="s">
        <v>896</v>
      </c>
      <c r="B481" s="277" t="s">
        <v>896</v>
      </c>
      <c r="C481" s="5" t="s">
        <v>3711</v>
      </c>
      <c r="D481" s="31"/>
      <c r="E481" s="5"/>
      <c r="F481" s="283" t="s">
        <v>3705</v>
      </c>
      <c r="G481" s="282" t="s">
        <v>3681</v>
      </c>
      <c r="H481" s="31"/>
      <c r="I481" s="31"/>
      <c r="J481" s="31"/>
      <c r="K481" s="5"/>
      <c r="L481" s="5"/>
      <c r="M481" s="5"/>
      <c r="N481" s="5"/>
      <c r="O481" s="33"/>
      <c r="P481" s="5"/>
      <c r="Q481" s="277" t="s">
        <v>251</v>
      </c>
      <c r="R481" s="31" t="s">
        <v>242</v>
      </c>
      <c r="S481" s="31" t="s">
        <v>3690</v>
      </c>
      <c r="T481" s="31"/>
      <c r="U481" s="283" t="s">
        <v>3712</v>
      </c>
      <c r="V481" s="5"/>
      <c r="W481" s="40">
        <v>0</v>
      </c>
      <c r="X481" s="41"/>
      <c r="Y481" s="42"/>
      <c r="Z481" s="38" t="s">
        <v>386</v>
      </c>
      <c r="AA481" s="31"/>
      <c r="AB481" s="5" t="s">
        <v>3713</v>
      </c>
      <c r="AC481" s="5" t="s">
        <v>88</v>
      </c>
      <c r="AD481" s="5" t="s">
        <v>596</v>
      </c>
      <c r="AE481" s="169" t="s">
        <v>3692</v>
      </c>
      <c r="AF481" s="5" t="s">
        <v>3713</v>
      </c>
      <c r="AG481" s="5"/>
      <c r="AH481" s="5"/>
      <c r="AI481" s="5"/>
      <c r="AJ481" s="5" t="s">
        <v>605</v>
      </c>
      <c r="AK481" s="5" t="s">
        <v>596</v>
      </c>
      <c r="AL481" s="5" t="s">
        <v>1063</v>
      </c>
      <c r="AM481" s="5"/>
      <c r="AN481" s="5"/>
      <c r="AO481" s="5"/>
      <c r="AP481" s="5"/>
      <c r="AQ481" s="5" t="s">
        <v>242</v>
      </c>
      <c r="AR481" s="5"/>
      <c r="AS481" s="30"/>
      <c r="AT481" s="37"/>
      <c r="AU481" s="37"/>
      <c r="AV481" s="37"/>
      <c r="AW481" s="37"/>
      <c r="AX481" s="37"/>
      <c r="AY481" s="38"/>
      <c r="AZ481" s="224" t="s">
        <v>906</v>
      </c>
      <c r="BA481" s="38"/>
      <c r="BB481" s="46"/>
      <c r="BC481" s="37"/>
      <c r="BD481" s="37"/>
      <c r="BE481" s="5"/>
      <c r="BF481" s="5"/>
      <c r="BG481" s="31"/>
      <c r="BH481" s="31"/>
      <c r="BI481" s="31"/>
      <c r="BJ481" s="48"/>
      <c r="BK481" s="49"/>
    </row>
    <row x14ac:dyDescent="0.25" r="482" customHeight="1" ht="31.5">
      <c r="A482" s="229" t="s">
        <v>896</v>
      </c>
      <c r="B482" s="277" t="s">
        <v>896</v>
      </c>
      <c r="C482" s="5" t="s">
        <v>3714</v>
      </c>
      <c r="D482" s="31"/>
      <c r="E482" s="5"/>
      <c r="F482" s="285" t="s">
        <v>703</v>
      </c>
      <c r="G482" s="282" t="s">
        <v>3681</v>
      </c>
      <c r="H482" s="31"/>
      <c r="I482" s="31"/>
      <c r="J482" s="31"/>
      <c r="K482" s="5"/>
      <c r="L482" s="5"/>
      <c r="M482" s="5"/>
      <c r="N482" s="5"/>
      <c r="O482" s="33"/>
      <c r="P482" s="5"/>
      <c r="Q482" s="277" t="s">
        <v>251</v>
      </c>
      <c r="R482" s="31" t="s">
        <v>242</v>
      </c>
      <c r="S482" s="31" t="s">
        <v>3690</v>
      </c>
      <c r="T482" s="31"/>
      <c r="U482" s="283" t="s">
        <v>3714</v>
      </c>
      <c r="V482" s="5"/>
      <c r="W482" s="40">
        <v>0</v>
      </c>
      <c r="X482" s="41"/>
      <c r="Y482" s="42"/>
      <c r="Z482" s="38" t="s">
        <v>386</v>
      </c>
      <c r="AA482" s="31"/>
      <c r="AB482" s="5" t="s">
        <v>3715</v>
      </c>
      <c r="AC482" s="5" t="s">
        <v>24</v>
      </c>
      <c r="AD482" s="5" t="s">
        <v>596</v>
      </c>
      <c r="AE482" s="169" t="s">
        <v>3692</v>
      </c>
      <c r="AF482" s="5" t="s">
        <v>3715</v>
      </c>
      <c r="AG482" s="5"/>
      <c r="AH482" s="5"/>
      <c r="AI482" s="5"/>
      <c r="AJ482" s="5" t="s">
        <v>605</v>
      </c>
      <c r="AK482" s="5" t="s">
        <v>596</v>
      </c>
      <c r="AL482" s="5" t="s">
        <v>1063</v>
      </c>
      <c r="AM482" s="5"/>
      <c r="AN482" s="5"/>
      <c r="AO482" s="5"/>
      <c r="AP482" s="5"/>
      <c r="AQ482" s="5" t="s">
        <v>242</v>
      </c>
      <c r="AR482" s="5"/>
      <c r="AS482" s="30"/>
      <c r="AT482" s="37"/>
      <c r="AU482" s="37"/>
      <c r="AV482" s="37"/>
      <c r="AW482" s="37"/>
      <c r="AX482" s="37"/>
      <c r="AY482" s="38"/>
      <c r="AZ482" s="224" t="s">
        <v>906</v>
      </c>
      <c r="BA482" s="38"/>
      <c r="BB482" s="46"/>
      <c r="BC482" s="37"/>
      <c r="BD482" s="37"/>
      <c r="BE482" s="5"/>
      <c r="BF482" s="5"/>
      <c r="BG482" s="31"/>
      <c r="BH482" s="31"/>
      <c r="BI482" s="31"/>
      <c r="BJ482" s="48"/>
      <c r="BK482" s="49"/>
    </row>
    <row x14ac:dyDescent="0.25" r="483" customHeight="1" ht="31.5">
      <c r="A483" s="37" t="s">
        <v>896</v>
      </c>
      <c r="B483" s="1" t="s">
        <v>896</v>
      </c>
      <c r="C483" s="5" t="s">
        <v>3716</v>
      </c>
      <c r="D483" s="31" t="s">
        <v>3716</v>
      </c>
      <c r="E483" s="5"/>
      <c r="F483" s="5" t="s">
        <v>3717</v>
      </c>
      <c r="G483" s="5" t="s">
        <v>386</v>
      </c>
      <c r="H483" s="31" t="s">
        <v>386</v>
      </c>
      <c r="I483" s="31" t="s">
        <v>386</v>
      </c>
      <c r="J483" s="31"/>
      <c r="K483" s="5"/>
      <c r="L483" s="5" t="s">
        <v>386</v>
      </c>
      <c r="M483" s="5" t="s">
        <v>231</v>
      </c>
      <c r="N483" s="5" t="s">
        <v>386</v>
      </c>
      <c r="O483" s="33" t="s">
        <v>386</v>
      </c>
      <c r="P483" s="5" t="s">
        <v>386</v>
      </c>
      <c r="Q483" s="1" t="s">
        <v>251</v>
      </c>
      <c r="R483" s="31" t="s">
        <v>242</v>
      </c>
      <c r="S483" s="31" t="s">
        <v>3718</v>
      </c>
      <c r="T483" s="31" t="s">
        <v>3719</v>
      </c>
      <c r="U483" s="31" t="s">
        <v>3720</v>
      </c>
      <c r="V483" s="5"/>
      <c r="W483" s="34">
        <v>1</v>
      </c>
      <c r="X483" s="31" t="s">
        <v>579</v>
      </c>
      <c r="Y483" s="5"/>
      <c r="Z483" s="34">
        <v>1</v>
      </c>
      <c r="AA483" s="31"/>
      <c r="AB483" s="5" t="s">
        <v>3721</v>
      </c>
      <c r="AC483" s="5" t="s">
        <v>76</v>
      </c>
      <c r="AD483" s="5" t="s">
        <v>259</v>
      </c>
      <c r="AE483" s="169" t="s">
        <v>259</v>
      </c>
      <c r="AF483" s="5" t="s">
        <v>3721</v>
      </c>
      <c r="AG483" s="5"/>
      <c r="AH483" s="5"/>
      <c r="AI483" s="5"/>
      <c r="AJ483" s="5" t="s">
        <v>747</v>
      </c>
      <c r="AK483" s="5" t="s">
        <v>259</v>
      </c>
      <c r="AL483" s="5"/>
      <c r="AM483" s="5"/>
      <c r="AN483" s="5"/>
      <c r="AO483" s="5"/>
      <c r="AP483" s="5"/>
      <c r="AQ483" s="5"/>
      <c r="AR483" s="5"/>
      <c r="AS483" s="30"/>
      <c r="AT483" s="37"/>
      <c r="AU483" s="37"/>
      <c r="AV483" s="37"/>
      <c r="AW483" s="37"/>
      <c r="AX483" s="37"/>
      <c r="AY483" s="38"/>
      <c r="AZ483" s="38"/>
      <c r="BA483" s="38"/>
      <c r="BB483" s="1"/>
      <c r="BC483" s="37"/>
      <c r="BD483" s="37"/>
      <c r="BE483" s="5"/>
      <c r="BF483" s="5"/>
      <c r="BG483" s="31"/>
      <c r="BH483" s="31"/>
      <c r="BI483" s="31"/>
      <c r="BJ483" s="31"/>
      <c r="BK483" s="30"/>
    </row>
    <row x14ac:dyDescent="0.25" r="484" customHeight="1" ht="31.5">
      <c r="A484" s="229" t="s">
        <v>896</v>
      </c>
      <c r="B484" s="277" t="s">
        <v>896</v>
      </c>
      <c r="C484" s="31" t="s">
        <v>3722</v>
      </c>
      <c r="D484" s="31" t="s">
        <v>3723</v>
      </c>
      <c r="E484" s="5"/>
      <c r="F484" s="5" t="s">
        <v>3724</v>
      </c>
      <c r="G484" s="5" t="s">
        <v>386</v>
      </c>
      <c r="H484" s="31" t="s">
        <v>386</v>
      </c>
      <c r="I484" s="31" t="s">
        <v>3725</v>
      </c>
      <c r="J484" s="31" t="s">
        <v>386</v>
      </c>
      <c r="K484" s="5" t="s">
        <v>3726</v>
      </c>
      <c r="L484" s="5" t="s">
        <v>386</v>
      </c>
      <c r="M484" s="5" t="s">
        <v>231</v>
      </c>
      <c r="N484" s="5" t="s">
        <v>386</v>
      </c>
      <c r="O484" s="33" t="s">
        <v>386</v>
      </c>
      <c r="P484" s="5" t="s">
        <v>386</v>
      </c>
      <c r="Q484" s="5" t="s">
        <v>251</v>
      </c>
      <c r="R484" s="31" t="s">
        <v>242</v>
      </c>
      <c r="S484" s="31" t="s">
        <v>3727</v>
      </c>
      <c r="T484" s="31" t="s">
        <v>3728</v>
      </c>
      <c r="U484" s="31" t="s">
        <v>3722</v>
      </c>
      <c r="V484" s="5" t="s">
        <v>3722</v>
      </c>
      <c r="W484" s="40">
        <v>1</v>
      </c>
      <c r="X484" s="41" t="s">
        <v>579</v>
      </c>
      <c r="Y484" s="42"/>
      <c r="Z484" s="34">
        <v>0</v>
      </c>
      <c r="AA484" s="31"/>
      <c r="AB484" s="5" t="s">
        <v>3726</v>
      </c>
      <c r="AC484" s="5" t="s">
        <v>76</v>
      </c>
      <c r="AD484" s="5" t="s">
        <v>259</v>
      </c>
      <c r="AE484" s="169" t="s">
        <v>1399</v>
      </c>
      <c r="AF484" s="5" t="s">
        <v>3726</v>
      </c>
      <c r="AG484" s="5"/>
      <c r="AH484" s="5"/>
      <c r="AI484" s="5"/>
      <c r="AJ484" s="5" t="s">
        <v>262</v>
      </c>
      <c r="AK484" s="5" t="s">
        <v>259</v>
      </c>
      <c r="AL484" s="286"/>
      <c r="AM484" s="5"/>
      <c r="AN484" s="5" t="s">
        <v>3726</v>
      </c>
      <c r="AO484" s="5" t="s">
        <v>259</v>
      </c>
      <c r="AP484" s="5" t="s">
        <v>3726</v>
      </c>
      <c r="AQ484" s="5"/>
      <c r="AR484" s="5"/>
      <c r="AS484" s="30">
        <v>142</v>
      </c>
      <c r="AT484" s="37"/>
      <c r="AU484" s="37"/>
      <c r="AV484" s="37"/>
      <c r="AW484" s="37"/>
      <c r="AX484" s="37"/>
      <c r="AY484" s="38"/>
      <c r="AZ484" s="38"/>
      <c r="BA484" s="38"/>
      <c r="BB484" s="46"/>
      <c r="BC484" s="37"/>
      <c r="BD484" s="37"/>
      <c r="BE484" s="5"/>
      <c r="BF484" s="5"/>
      <c r="BG484" s="31" t="s">
        <v>3722</v>
      </c>
      <c r="BH484" s="31"/>
      <c r="BI484" s="31"/>
      <c r="BJ484" s="48" t="s">
        <v>2284</v>
      </c>
      <c r="BK484" s="49">
        <v>1</v>
      </c>
    </row>
    <row x14ac:dyDescent="0.25" r="485" customHeight="1" ht="31.5">
      <c r="A485" s="287" t="s">
        <v>896</v>
      </c>
      <c r="B485" s="288" t="s">
        <v>896</v>
      </c>
      <c r="C485" s="289" t="s">
        <v>3729</v>
      </c>
      <c r="D485" s="289" t="s">
        <v>3730</v>
      </c>
      <c r="E485" s="290"/>
      <c r="F485" s="290" t="s">
        <v>3731</v>
      </c>
      <c r="G485" s="290" t="s">
        <v>3732</v>
      </c>
      <c r="H485" s="290" t="s">
        <v>3733</v>
      </c>
      <c r="I485" s="290" t="s">
        <v>386</v>
      </c>
      <c r="J485" s="290" t="s">
        <v>386</v>
      </c>
      <c r="K485" s="290" t="s">
        <v>386</v>
      </c>
      <c r="L485" s="290" t="s">
        <v>386</v>
      </c>
      <c r="M485" s="290" t="s">
        <v>820</v>
      </c>
      <c r="N485" s="290" t="s">
        <v>386</v>
      </c>
      <c r="O485" s="291" t="s">
        <v>386</v>
      </c>
      <c r="P485" s="290" t="s">
        <v>386</v>
      </c>
      <c r="Q485" s="290" t="s">
        <v>251</v>
      </c>
      <c r="R485" s="289" t="s">
        <v>242</v>
      </c>
      <c r="S485" s="55" t="s">
        <v>3734</v>
      </c>
      <c r="T485" s="289"/>
      <c r="U485" s="289" t="s">
        <v>3735</v>
      </c>
      <c r="V485" s="290"/>
      <c r="W485" s="292">
        <v>1</v>
      </c>
      <c r="X485" s="289" t="s">
        <v>3736</v>
      </c>
      <c r="Y485" s="290"/>
      <c r="Z485" s="292">
        <v>0</v>
      </c>
      <c r="AA485" s="289" t="s">
        <v>3737</v>
      </c>
      <c r="AB485" s="290" t="s">
        <v>3738</v>
      </c>
      <c r="AC485" s="290" t="s">
        <v>76</v>
      </c>
      <c r="AD485" s="62" t="s">
        <v>259</v>
      </c>
      <c r="AE485" s="62" t="s">
        <v>1036</v>
      </c>
      <c r="AF485" s="62" t="s">
        <v>3739</v>
      </c>
      <c r="AG485" s="62"/>
      <c r="AH485" s="62"/>
      <c r="AI485" s="62"/>
      <c r="AJ485" s="62" t="s">
        <v>262</v>
      </c>
      <c r="AK485" s="62" t="s">
        <v>259</v>
      </c>
      <c r="AL485" s="62"/>
      <c r="AM485" s="62"/>
      <c r="AN485" s="62" t="s">
        <v>3740</v>
      </c>
      <c r="AO485" s="62" t="s">
        <v>259</v>
      </c>
      <c r="AP485" s="62" t="s">
        <v>3741</v>
      </c>
      <c r="AQ485" s="290"/>
      <c r="AR485" s="290"/>
      <c r="AS485" s="293" t="s">
        <v>780</v>
      </c>
      <c r="AT485" s="287" t="s">
        <v>780</v>
      </c>
      <c r="AU485" s="287"/>
      <c r="AV485" s="287"/>
      <c r="AW485" s="287"/>
      <c r="AX485" s="287"/>
      <c r="AY485" s="294"/>
      <c r="AZ485" s="294"/>
      <c r="BA485" s="294"/>
      <c r="BB485" s="288"/>
      <c r="BC485" s="287"/>
      <c r="BD485" s="287"/>
      <c r="BE485" s="290"/>
      <c r="BF485" s="290"/>
      <c r="BG485" s="289" t="s">
        <v>3735</v>
      </c>
      <c r="BH485" s="289" t="s">
        <v>3735</v>
      </c>
      <c r="BI485" s="289" t="s">
        <v>3735</v>
      </c>
      <c r="BJ485" s="289"/>
      <c r="BK485" s="293">
        <v>1</v>
      </c>
    </row>
    <row x14ac:dyDescent="0.25" r="486" customHeight="1" ht="31.5">
      <c r="A486" s="287" t="s">
        <v>896</v>
      </c>
      <c r="B486" s="288" t="s">
        <v>896</v>
      </c>
      <c r="C486" s="289" t="s">
        <v>3729</v>
      </c>
      <c r="D486" s="289" t="s">
        <v>3742</v>
      </c>
      <c r="E486" s="290"/>
      <c r="F486" s="290" t="s">
        <v>577</v>
      </c>
      <c r="G486" s="290" t="s">
        <v>3732</v>
      </c>
      <c r="H486" s="290" t="s">
        <v>3743</v>
      </c>
      <c r="I486" s="290" t="s">
        <v>386</v>
      </c>
      <c r="J486" s="290" t="s">
        <v>386</v>
      </c>
      <c r="K486" s="290" t="s">
        <v>386</v>
      </c>
      <c r="L486" s="290" t="s">
        <v>386</v>
      </c>
      <c r="M486" s="290" t="s">
        <v>820</v>
      </c>
      <c r="N486" s="290" t="s">
        <v>386</v>
      </c>
      <c r="O486" s="291" t="s">
        <v>386</v>
      </c>
      <c r="P486" s="290" t="s">
        <v>386</v>
      </c>
      <c r="Q486" s="290" t="s">
        <v>233</v>
      </c>
      <c r="R486" s="289" t="s">
        <v>242</v>
      </c>
      <c r="S486" s="289"/>
      <c r="T486" s="289"/>
      <c r="U486" s="289"/>
      <c r="V486" s="290"/>
      <c r="W486" s="294"/>
      <c r="X486" s="289"/>
      <c r="Y486" s="290"/>
      <c r="Z486" s="294"/>
      <c r="AA486" s="289"/>
      <c r="AB486" s="290" t="s">
        <v>3744</v>
      </c>
      <c r="AC486" s="5" t="s">
        <v>38</v>
      </c>
      <c r="AD486" s="62" t="s">
        <v>238</v>
      </c>
      <c r="AE486" s="62" t="s">
        <v>3745</v>
      </c>
      <c r="AF486" s="62" t="s">
        <v>3746</v>
      </c>
      <c r="AG486" s="62"/>
      <c r="AH486" s="62"/>
      <c r="AI486" s="62"/>
      <c r="AJ486" s="62"/>
      <c r="AK486" s="62" t="s">
        <v>1036</v>
      </c>
      <c r="AL486" s="62" t="s">
        <v>1063</v>
      </c>
      <c r="AM486" s="62"/>
      <c r="AN486" s="62"/>
      <c r="AO486" s="62"/>
      <c r="AP486" s="62"/>
      <c r="AQ486" s="290"/>
      <c r="AR486" s="290"/>
      <c r="AS486" s="293" t="s">
        <v>780</v>
      </c>
      <c r="AT486" s="287" t="s">
        <v>780</v>
      </c>
      <c r="AU486" s="287"/>
      <c r="AV486" s="287"/>
      <c r="AW486" s="287"/>
      <c r="AX486" s="287"/>
      <c r="AY486" s="294"/>
      <c r="AZ486" s="294"/>
      <c r="BA486" s="294"/>
      <c r="BB486" s="288"/>
      <c r="BC486" s="287"/>
      <c r="BD486" s="287"/>
      <c r="BE486" s="290"/>
      <c r="BF486" s="290"/>
      <c r="BG486" s="3"/>
      <c r="BH486" s="289"/>
      <c r="BI486" s="289"/>
      <c r="BJ486" s="289" t="s">
        <v>2284</v>
      </c>
      <c r="BK486" s="293">
        <v>1</v>
      </c>
    </row>
    <row x14ac:dyDescent="0.25" r="487" customHeight="1" ht="31.5">
      <c r="A487" s="287" t="s">
        <v>896</v>
      </c>
      <c r="B487" s="288" t="s">
        <v>896</v>
      </c>
      <c r="C487" s="289" t="s">
        <v>3729</v>
      </c>
      <c r="D487" s="289" t="s">
        <v>3747</v>
      </c>
      <c r="E487" s="290"/>
      <c r="F487" s="290" t="s">
        <v>577</v>
      </c>
      <c r="G487" s="290" t="s">
        <v>3732</v>
      </c>
      <c r="H487" s="290" t="s">
        <v>3748</v>
      </c>
      <c r="I487" s="290" t="s">
        <v>386</v>
      </c>
      <c r="J487" s="290" t="s">
        <v>386</v>
      </c>
      <c r="K487" s="290" t="s">
        <v>386</v>
      </c>
      <c r="L487" s="290" t="s">
        <v>386</v>
      </c>
      <c r="M487" s="290" t="s">
        <v>820</v>
      </c>
      <c r="N487" s="290" t="s">
        <v>386</v>
      </c>
      <c r="O487" s="291" t="s">
        <v>386</v>
      </c>
      <c r="P487" s="290" t="s">
        <v>386</v>
      </c>
      <c r="Q487" s="290" t="s">
        <v>233</v>
      </c>
      <c r="R487" s="289" t="s">
        <v>242</v>
      </c>
      <c r="S487" s="289"/>
      <c r="T487" s="289"/>
      <c r="U487" s="289"/>
      <c r="V487" s="290"/>
      <c r="W487" s="294"/>
      <c r="X487" s="289"/>
      <c r="Y487" s="290"/>
      <c r="Z487" s="294"/>
      <c r="AA487" s="289"/>
      <c r="AB487" s="290" t="s">
        <v>3749</v>
      </c>
      <c r="AC487" s="5" t="s">
        <v>38</v>
      </c>
      <c r="AD487" s="62" t="s">
        <v>238</v>
      </c>
      <c r="AE487" s="62" t="s">
        <v>3745</v>
      </c>
      <c r="AF487" s="62" t="s">
        <v>3750</v>
      </c>
      <c r="AG487" s="62"/>
      <c r="AH487" s="62"/>
      <c r="AI487" s="62"/>
      <c r="AJ487" s="62"/>
      <c r="AK487" s="62" t="s">
        <v>1036</v>
      </c>
      <c r="AL487" s="62" t="s">
        <v>1063</v>
      </c>
      <c r="AM487" s="62"/>
      <c r="AN487" s="62"/>
      <c r="AO487" s="62"/>
      <c r="AP487" s="62"/>
      <c r="AQ487" s="290"/>
      <c r="AR487" s="290"/>
      <c r="AS487" s="293" t="s">
        <v>780</v>
      </c>
      <c r="AT487" s="287" t="s">
        <v>780</v>
      </c>
      <c r="AU487" s="287"/>
      <c r="AV487" s="287"/>
      <c r="AW487" s="287"/>
      <c r="AX487" s="287"/>
      <c r="AY487" s="294"/>
      <c r="AZ487" s="294"/>
      <c r="BA487" s="294"/>
      <c r="BB487" s="288"/>
      <c r="BC487" s="287"/>
      <c r="BD487" s="287"/>
      <c r="BE487" s="290"/>
      <c r="BF487" s="290"/>
      <c r="BG487" s="289"/>
      <c r="BH487" s="289"/>
      <c r="BI487" s="289"/>
      <c r="BJ487" s="289" t="s">
        <v>2284</v>
      </c>
      <c r="BK487" s="293">
        <v>1</v>
      </c>
    </row>
    <row x14ac:dyDescent="0.25" r="488" customHeight="1" ht="31.5">
      <c r="A488" s="287" t="s">
        <v>896</v>
      </c>
      <c r="B488" s="288" t="s">
        <v>896</v>
      </c>
      <c r="C488" s="289" t="s">
        <v>3729</v>
      </c>
      <c r="D488" s="289" t="s">
        <v>3751</v>
      </c>
      <c r="E488" s="290"/>
      <c r="F488" s="290" t="s">
        <v>577</v>
      </c>
      <c r="G488" s="290" t="s">
        <v>3732</v>
      </c>
      <c r="H488" s="290" t="s">
        <v>3752</v>
      </c>
      <c r="I488" s="290" t="s">
        <v>386</v>
      </c>
      <c r="J488" s="290" t="s">
        <v>386</v>
      </c>
      <c r="K488" s="290" t="s">
        <v>386</v>
      </c>
      <c r="L488" s="290" t="s">
        <v>386</v>
      </c>
      <c r="M488" s="290" t="s">
        <v>820</v>
      </c>
      <c r="N488" s="290" t="s">
        <v>386</v>
      </c>
      <c r="O488" s="291" t="s">
        <v>386</v>
      </c>
      <c r="P488" s="290" t="s">
        <v>386</v>
      </c>
      <c r="Q488" s="290" t="s">
        <v>233</v>
      </c>
      <c r="R488" s="289" t="s">
        <v>242</v>
      </c>
      <c r="S488" s="289"/>
      <c r="T488" s="289"/>
      <c r="U488" s="289"/>
      <c r="V488" s="290"/>
      <c r="W488" s="294"/>
      <c r="X488" s="289"/>
      <c r="Y488" s="290"/>
      <c r="Z488" s="294"/>
      <c r="AA488" s="289"/>
      <c r="AB488" s="290" t="s">
        <v>3753</v>
      </c>
      <c r="AC488" s="5" t="s">
        <v>38</v>
      </c>
      <c r="AD488" s="62" t="s">
        <v>238</v>
      </c>
      <c r="AE488" s="62" t="s">
        <v>3745</v>
      </c>
      <c r="AF488" s="62" t="s">
        <v>3754</v>
      </c>
      <c r="AG488" s="62"/>
      <c r="AH488" s="62"/>
      <c r="AI488" s="62"/>
      <c r="AJ488" s="62"/>
      <c r="AK488" s="62" t="s">
        <v>1036</v>
      </c>
      <c r="AL488" s="62" t="s">
        <v>1063</v>
      </c>
      <c r="AM488" s="62"/>
      <c r="AN488" s="62"/>
      <c r="AO488" s="62"/>
      <c r="AP488" s="62"/>
      <c r="AQ488" s="290"/>
      <c r="AR488" s="290"/>
      <c r="AS488" s="293" t="s">
        <v>780</v>
      </c>
      <c r="AT488" s="287" t="s">
        <v>780</v>
      </c>
      <c r="AU488" s="287"/>
      <c r="AV488" s="287"/>
      <c r="AW488" s="287"/>
      <c r="AX488" s="287"/>
      <c r="AY488" s="294"/>
      <c r="AZ488" s="294"/>
      <c r="BA488" s="294"/>
      <c r="BB488" s="288"/>
      <c r="BC488" s="287"/>
      <c r="BD488" s="287"/>
      <c r="BE488" s="290"/>
      <c r="BF488" s="290"/>
      <c r="BG488" s="289"/>
      <c r="BH488" s="289"/>
      <c r="BI488" s="289"/>
      <c r="BJ488" s="289" t="s">
        <v>2284</v>
      </c>
      <c r="BK488" s="293">
        <v>1</v>
      </c>
    </row>
    <row x14ac:dyDescent="0.25" r="489" customHeight="1" ht="31.5">
      <c r="A489" s="287" t="s">
        <v>896</v>
      </c>
      <c r="B489" s="288" t="s">
        <v>896</v>
      </c>
      <c r="C489" s="289" t="s">
        <v>3729</v>
      </c>
      <c r="D489" s="289" t="s">
        <v>3755</v>
      </c>
      <c r="E489" s="290"/>
      <c r="F489" s="290" t="s">
        <v>577</v>
      </c>
      <c r="G489" s="290" t="s">
        <v>3732</v>
      </c>
      <c r="H489" s="290" t="s">
        <v>3756</v>
      </c>
      <c r="I489" s="290" t="s">
        <v>386</v>
      </c>
      <c r="J489" s="290" t="s">
        <v>386</v>
      </c>
      <c r="K489" s="290" t="s">
        <v>386</v>
      </c>
      <c r="L489" s="290" t="s">
        <v>386</v>
      </c>
      <c r="M489" s="290" t="s">
        <v>820</v>
      </c>
      <c r="N489" s="290" t="s">
        <v>386</v>
      </c>
      <c r="O489" s="291" t="s">
        <v>386</v>
      </c>
      <c r="P489" s="290" t="s">
        <v>386</v>
      </c>
      <c r="Q489" s="290" t="s">
        <v>233</v>
      </c>
      <c r="R489" s="289" t="s">
        <v>242</v>
      </c>
      <c r="S489" s="289"/>
      <c r="T489" s="289"/>
      <c r="U489" s="289"/>
      <c r="V489" s="290"/>
      <c r="W489" s="294"/>
      <c r="X489" s="289"/>
      <c r="Y489" s="290"/>
      <c r="Z489" s="294"/>
      <c r="AA489" s="289"/>
      <c r="AB489" s="290" t="s">
        <v>3757</v>
      </c>
      <c r="AC489" s="5" t="s">
        <v>38</v>
      </c>
      <c r="AD489" s="62" t="s">
        <v>238</v>
      </c>
      <c r="AE489" s="62" t="s">
        <v>3745</v>
      </c>
      <c r="AF489" s="62" t="s">
        <v>3758</v>
      </c>
      <c r="AG489" s="62"/>
      <c r="AH489" s="62"/>
      <c r="AI489" s="62"/>
      <c r="AJ489" s="62"/>
      <c r="AK489" s="62" t="s">
        <v>1036</v>
      </c>
      <c r="AL489" s="62" t="s">
        <v>1063</v>
      </c>
      <c r="AM489" s="62"/>
      <c r="AN489" s="62"/>
      <c r="AO489" s="62"/>
      <c r="AP489" s="62"/>
      <c r="AQ489" s="290"/>
      <c r="AR489" s="290"/>
      <c r="AS489" s="293" t="s">
        <v>780</v>
      </c>
      <c r="AT489" s="287" t="s">
        <v>780</v>
      </c>
      <c r="AU489" s="287"/>
      <c r="AV489" s="287"/>
      <c r="AW489" s="287"/>
      <c r="AX489" s="287"/>
      <c r="AY489" s="294"/>
      <c r="AZ489" s="294"/>
      <c r="BA489" s="294"/>
      <c r="BB489" s="288"/>
      <c r="BC489" s="287"/>
      <c r="BD489" s="287"/>
      <c r="BE489" s="290"/>
      <c r="BF489" s="290"/>
      <c r="BG489" s="289"/>
      <c r="BH489" s="289"/>
      <c r="BI489" s="289"/>
      <c r="BJ489" s="289" t="s">
        <v>2284</v>
      </c>
      <c r="BK489" s="293">
        <v>1</v>
      </c>
    </row>
    <row x14ac:dyDescent="0.25" r="490" customHeight="1" ht="31.5">
      <c r="A490" s="287" t="s">
        <v>896</v>
      </c>
      <c r="B490" s="288" t="s">
        <v>896</v>
      </c>
      <c r="C490" s="289" t="s">
        <v>3729</v>
      </c>
      <c r="D490" s="289" t="s">
        <v>3759</v>
      </c>
      <c r="E490" s="290"/>
      <c r="F490" s="290" t="s">
        <v>577</v>
      </c>
      <c r="G490" s="290" t="s">
        <v>3732</v>
      </c>
      <c r="H490" s="290" t="s">
        <v>3760</v>
      </c>
      <c r="I490" s="290" t="s">
        <v>386</v>
      </c>
      <c r="J490" s="290" t="s">
        <v>386</v>
      </c>
      <c r="K490" s="290" t="s">
        <v>386</v>
      </c>
      <c r="L490" s="290" t="s">
        <v>386</v>
      </c>
      <c r="M490" s="290" t="s">
        <v>820</v>
      </c>
      <c r="N490" s="290" t="s">
        <v>386</v>
      </c>
      <c r="O490" s="291" t="s">
        <v>386</v>
      </c>
      <c r="P490" s="290" t="s">
        <v>386</v>
      </c>
      <c r="Q490" s="290" t="s">
        <v>233</v>
      </c>
      <c r="R490" s="289" t="s">
        <v>242</v>
      </c>
      <c r="S490" s="289"/>
      <c r="T490" s="289"/>
      <c r="U490" s="289"/>
      <c r="V490" s="290"/>
      <c r="W490" s="294"/>
      <c r="X490" s="289"/>
      <c r="Y490" s="290"/>
      <c r="Z490" s="294"/>
      <c r="AA490" s="289"/>
      <c r="AB490" s="290" t="s">
        <v>3761</v>
      </c>
      <c r="AC490" s="5" t="s">
        <v>38</v>
      </c>
      <c r="AD490" s="62" t="s">
        <v>259</v>
      </c>
      <c r="AE490" s="62" t="s">
        <v>1036</v>
      </c>
      <c r="AF490" s="62" t="s">
        <v>3762</v>
      </c>
      <c r="AG490" s="62"/>
      <c r="AH490" s="62"/>
      <c r="AI490" s="62"/>
      <c r="AJ490" s="62"/>
      <c r="AK490" s="62" t="s">
        <v>1036</v>
      </c>
      <c r="AL490" s="62" t="s">
        <v>1063</v>
      </c>
      <c r="AM490" s="62"/>
      <c r="AN490" s="62"/>
      <c r="AO490" s="62"/>
      <c r="AP490" s="62"/>
      <c r="AQ490" s="290"/>
      <c r="AR490" s="290"/>
      <c r="AS490" s="293" t="s">
        <v>780</v>
      </c>
      <c r="AT490" s="287" t="s">
        <v>780</v>
      </c>
      <c r="AU490" s="287"/>
      <c r="AV490" s="287"/>
      <c r="AW490" s="287"/>
      <c r="AX490" s="287"/>
      <c r="AY490" s="294"/>
      <c r="AZ490" s="294"/>
      <c r="BA490" s="294"/>
      <c r="BB490" s="288"/>
      <c r="BC490" s="287"/>
      <c r="BD490" s="287"/>
      <c r="BE490" s="290"/>
      <c r="BF490" s="290"/>
      <c r="BG490" s="289"/>
      <c r="BH490" s="289"/>
      <c r="BI490" s="289"/>
      <c r="BJ490" s="289" t="s">
        <v>2284</v>
      </c>
      <c r="BK490" s="293">
        <v>1</v>
      </c>
    </row>
    <row x14ac:dyDescent="0.25" r="491" customHeight="1" ht="31.5">
      <c r="A491" s="287" t="s">
        <v>896</v>
      </c>
      <c r="B491" s="288" t="s">
        <v>896</v>
      </c>
      <c r="C491" s="289" t="s">
        <v>3729</v>
      </c>
      <c r="D491" s="289" t="s">
        <v>3763</v>
      </c>
      <c r="E491" s="290"/>
      <c r="F491" s="290" t="s">
        <v>577</v>
      </c>
      <c r="G491" s="290" t="s">
        <v>3732</v>
      </c>
      <c r="H491" s="290" t="s">
        <v>3764</v>
      </c>
      <c r="I491" s="290" t="s">
        <v>386</v>
      </c>
      <c r="J491" s="290" t="s">
        <v>386</v>
      </c>
      <c r="K491" s="290" t="s">
        <v>386</v>
      </c>
      <c r="L491" s="290" t="s">
        <v>386</v>
      </c>
      <c r="M491" s="290" t="s">
        <v>820</v>
      </c>
      <c r="N491" s="290" t="s">
        <v>386</v>
      </c>
      <c r="O491" s="291" t="s">
        <v>386</v>
      </c>
      <c r="P491" s="290" t="s">
        <v>386</v>
      </c>
      <c r="Q491" s="290" t="s">
        <v>233</v>
      </c>
      <c r="R491" s="289" t="s">
        <v>242</v>
      </c>
      <c r="S491" s="289"/>
      <c r="T491" s="289"/>
      <c r="U491" s="289"/>
      <c r="V491" s="290"/>
      <c r="W491" s="294"/>
      <c r="X491" s="289"/>
      <c r="Y491" s="290"/>
      <c r="Z491" s="294"/>
      <c r="AA491" s="289"/>
      <c r="AB491" s="290" t="s">
        <v>3765</v>
      </c>
      <c r="AC491" s="5" t="s">
        <v>38</v>
      </c>
      <c r="AD491" s="62" t="s">
        <v>238</v>
      </c>
      <c r="AE491" s="62" t="s">
        <v>3745</v>
      </c>
      <c r="AF491" s="62" t="s">
        <v>3766</v>
      </c>
      <c r="AG491" s="62"/>
      <c r="AH491" s="62"/>
      <c r="AI491" s="62"/>
      <c r="AJ491" s="62"/>
      <c r="AK491" s="62" t="s">
        <v>1036</v>
      </c>
      <c r="AL491" s="62" t="s">
        <v>1063</v>
      </c>
      <c r="AM491" s="62"/>
      <c r="AN491" s="62"/>
      <c r="AO491" s="62"/>
      <c r="AP491" s="62"/>
      <c r="AQ491" s="290"/>
      <c r="AR491" s="290"/>
      <c r="AS491" s="293" t="s">
        <v>780</v>
      </c>
      <c r="AT491" s="287" t="s">
        <v>780</v>
      </c>
      <c r="AU491" s="287"/>
      <c r="AV491" s="287"/>
      <c r="AW491" s="287"/>
      <c r="AX491" s="287"/>
      <c r="AY491" s="294"/>
      <c r="AZ491" s="294"/>
      <c r="BA491" s="294"/>
      <c r="BB491" s="288"/>
      <c r="BC491" s="287"/>
      <c r="BD491" s="287"/>
      <c r="BE491" s="290"/>
      <c r="BF491" s="290"/>
      <c r="BG491" s="289"/>
      <c r="BH491" s="289"/>
      <c r="BI491" s="289"/>
      <c r="BJ491" s="289" t="s">
        <v>2284</v>
      </c>
      <c r="BK491" s="293">
        <v>1</v>
      </c>
    </row>
    <row x14ac:dyDescent="0.25" r="492" customHeight="1" ht="31.5">
      <c r="A492" s="287" t="s">
        <v>896</v>
      </c>
      <c r="B492" s="288" t="s">
        <v>896</v>
      </c>
      <c r="C492" s="289" t="s">
        <v>3729</v>
      </c>
      <c r="D492" s="289" t="s">
        <v>3767</v>
      </c>
      <c r="E492" s="290"/>
      <c r="F492" s="290" t="s">
        <v>577</v>
      </c>
      <c r="G492" s="290" t="s">
        <v>3732</v>
      </c>
      <c r="H492" s="290" t="s">
        <v>3768</v>
      </c>
      <c r="I492" s="290" t="s">
        <v>386</v>
      </c>
      <c r="J492" s="290" t="s">
        <v>386</v>
      </c>
      <c r="K492" s="290" t="s">
        <v>386</v>
      </c>
      <c r="L492" s="290" t="s">
        <v>386</v>
      </c>
      <c r="M492" s="290" t="s">
        <v>820</v>
      </c>
      <c r="N492" s="290" t="s">
        <v>386</v>
      </c>
      <c r="O492" s="291" t="s">
        <v>386</v>
      </c>
      <c r="P492" s="290" t="s">
        <v>386</v>
      </c>
      <c r="Q492" s="290" t="s">
        <v>233</v>
      </c>
      <c r="R492" s="289" t="s">
        <v>242</v>
      </c>
      <c r="S492" s="289"/>
      <c r="T492" s="289"/>
      <c r="U492" s="289"/>
      <c r="V492" s="290"/>
      <c r="W492" s="294"/>
      <c r="X492" s="289"/>
      <c r="Y492" s="290"/>
      <c r="Z492" s="294"/>
      <c r="AA492" s="289"/>
      <c r="AB492" s="290" t="s">
        <v>3769</v>
      </c>
      <c r="AC492" s="5" t="s">
        <v>38</v>
      </c>
      <c r="AD492" s="62" t="s">
        <v>259</v>
      </c>
      <c r="AE492" s="62" t="s">
        <v>1036</v>
      </c>
      <c r="AF492" s="62" t="s">
        <v>3770</v>
      </c>
      <c r="AG492" s="62"/>
      <c r="AH492" s="62"/>
      <c r="AI492" s="62"/>
      <c r="AJ492" s="62"/>
      <c r="AK492" s="62" t="s">
        <v>1036</v>
      </c>
      <c r="AL492" s="62" t="s">
        <v>1063</v>
      </c>
      <c r="AM492" s="62"/>
      <c r="AN492" s="62"/>
      <c r="AO492" s="62"/>
      <c r="AP492" s="62"/>
      <c r="AQ492" s="290"/>
      <c r="AR492" s="290"/>
      <c r="AS492" s="293" t="s">
        <v>780</v>
      </c>
      <c r="AT492" s="287" t="s">
        <v>780</v>
      </c>
      <c r="AU492" s="287"/>
      <c r="AV492" s="287"/>
      <c r="AW492" s="287"/>
      <c r="AX492" s="287"/>
      <c r="AY492" s="294"/>
      <c r="AZ492" s="294"/>
      <c r="BA492" s="294"/>
      <c r="BB492" s="288"/>
      <c r="BC492" s="287"/>
      <c r="BD492" s="287"/>
      <c r="BE492" s="290"/>
      <c r="BF492" s="290"/>
      <c r="BG492" s="289"/>
      <c r="BH492" s="289"/>
      <c r="BI492" s="289"/>
      <c r="BJ492" s="289" t="s">
        <v>2284</v>
      </c>
      <c r="BK492" s="293">
        <v>1</v>
      </c>
    </row>
    <row x14ac:dyDescent="0.25" r="493" customHeight="1" ht="31.5">
      <c r="A493" s="287" t="s">
        <v>896</v>
      </c>
      <c r="B493" s="288" t="s">
        <v>896</v>
      </c>
      <c r="C493" s="289" t="s">
        <v>3729</v>
      </c>
      <c r="D493" s="289" t="s">
        <v>3771</v>
      </c>
      <c r="E493" s="92"/>
      <c r="F493" s="92" t="s">
        <v>577</v>
      </c>
      <c r="G493" s="92" t="s">
        <v>3732</v>
      </c>
      <c r="H493" s="92" t="s">
        <v>3772</v>
      </c>
      <c r="I493" s="92" t="s">
        <v>386</v>
      </c>
      <c r="J493" s="92" t="s">
        <v>386</v>
      </c>
      <c r="K493" s="92" t="s">
        <v>386</v>
      </c>
      <c r="L493" s="92" t="s">
        <v>386</v>
      </c>
      <c r="M493" s="92" t="s">
        <v>820</v>
      </c>
      <c r="N493" s="92" t="s">
        <v>386</v>
      </c>
      <c r="O493" s="93" t="s">
        <v>386</v>
      </c>
      <c r="P493" s="92" t="s">
        <v>386</v>
      </c>
      <c r="Q493" s="92" t="s">
        <v>233</v>
      </c>
      <c r="R493" s="52" t="s">
        <v>242</v>
      </c>
      <c r="S493" s="52"/>
      <c r="T493" s="52"/>
      <c r="U493" s="52"/>
      <c r="V493" s="92"/>
      <c r="W493" s="94"/>
      <c r="X493" s="52"/>
      <c r="Y493" s="92"/>
      <c r="Z493" s="94"/>
      <c r="AA493" s="52"/>
      <c r="AB493" s="92" t="s">
        <v>3773</v>
      </c>
      <c r="AC493" s="5" t="s">
        <v>38</v>
      </c>
      <c r="AD493" s="62" t="s">
        <v>238</v>
      </c>
      <c r="AE493" s="62" t="s">
        <v>3745</v>
      </c>
      <c r="AF493" s="62" t="s">
        <v>3774</v>
      </c>
      <c r="AG493" s="62"/>
      <c r="AH493" s="62"/>
      <c r="AI493" s="62"/>
      <c r="AJ493" s="62"/>
      <c r="AK493" s="62" t="s">
        <v>1036</v>
      </c>
      <c r="AL493" s="62" t="s">
        <v>1063</v>
      </c>
      <c r="AM493" s="62"/>
      <c r="AN493" s="62"/>
      <c r="AO493" s="62"/>
      <c r="AP493" s="62"/>
      <c r="AQ493" s="290"/>
      <c r="AR493" s="290"/>
      <c r="AS493" s="293" t="s">
        <v>780</v>
      </c>
      <c r="AT493" s="287" t="s">
        <v>780</v>
      </c>
      <c r="AU493" s="287"/>
      <c r="AV493" s="287"/>
      <c r="AW493" s="287"/>
      <c r="AX493" s="287"/>
      <c r="AY493" s="294"/>
      <c r="AZ493" s="294"/>
      <c r="BA493" s="294"/>
      <c r="BB493" s="288"/>
      <c r="BC493" s="287"/>
      <c r="BD493" s="287"/>
      <c r="BE493" s="290"/>
      <c r="BF493" s="290"/>
      <c r="BG493" s="289"/>
      <c r="BH493" s="289"/>
      <c r="BI493" s="289"/>
      <c r="BJ493" s="289" t="s">
        <v>2284</v>
      </c>
      <c r="BK493" s="293">
        <v>1</v>
      </c>
    </row>
    <row x14ac:dyDescent="0.25" r="494" customHeight="1" ht="31.5">
      <c r="A494" s="287" t="s">
        <v>896</v>
      </c>
      <c r="B494" s="288" t="s">
        <v>896</v>
      </c>
      <c r="C494" s="289" t="s">
        <v>3729</v>
      </c>
      <c r="D494" s="52" t="s">
        <v>3775</v>
      </c>
      <c r="E494" s="92"/>
      <c r="F494" s="92" t="s">
        <v>577</v>
      </c>
      <c r="G494" s="92" t="s">
        <v>3732</v>
      </c>
      <c r="H494" s="92" t="s">
        <v>3776</v>
      </c>
      <c r="I494" s="92" t="s">
        <v>386</v>
      </c>
      <c r="J494" s="92" t="s">
        <v>386</v>
      </c>
      <c r="K494" s="92" t="s">
        <v>386</v>
      </c>
      <c r="L494" s="92" t="s">
        <v>386</v>
      </c>
      <c r="M494" s="92" t="s">
        <v>820</v>
      </c>
      <c r="N494" s="92" t="s">
        <v>386</v>
      </c>
      <c r="O494" s="93" t="s">
        <v>386</v>
      </c>
      <c r="P494" s="92" t="s">
        <v>386</v>
      </c>
      <c r="Q494" s="92" t="s">
        <v>233</v>
      </c>
      <c r="R494" s="52" t="s">
        <v>242</v>
      </c>
      <c r="S494" s="52"/>
      <c r="T494" s="52"/>
      <c r="U494" s="52"/>
      <c r="V494" s="92"/>
      <c r="W494" s="94"/>
      <c r="X494" s="52"/>
      <c r="Y494" s="92"/>
      <c r="Z494" s="94"/>
      <c r="AA494" s="52"/>
      <c r="AB494" s="92" t="s">
        <v>3777</v>
      </c>
      <c r="AC494" s="5" t="s">
        <v>38</v>
      </c>
      <c r="AD494" s="62" t="s">
        <v>238</v>
      </c>
      <c r="AE494" s="62" t="s">
        <v>3745</v>
      </c>
      <c r="AF494" s="62" t="s">
        <v>3778</v>
      </c>
      <c r="AG494" s="62"/>
      <c r="AH494" s="62"/>
      <c r="AI494" s="62"/>
      <c r="AJ494" s="62"/>
      <c r="AK494" s="62" t="s">
        <v>1036</v>
      </c>
      <c r="AL494" s="62" t="s">
        <v>1063</v>
      </c>
      <c r="AM494" s="62"/>
      <c r="AN494" s="62"/>
      <c r="AO494" s="62"/>
      <c r="AP494" s="62"/>
      <c r="AQ494" s="290"/>
      <c r="AR494" s="290"/>
      <c r="AS494" s="293" t="s">
        <v>780</v>
      </c>
      <c r="AT494" s="287" t="s">
        <v>780</v>
      </c>
      <c r="AU494" s="287"/>
      <c r="AV494" s="287"/>
      <c r="AW494" s="287"/>
      <c r="AX494" s="287"/>
      <c r="AY494" s="294"/>
      <c r="AZ494" s="294"/>
      <c r="BA494" s="294"/>
      <c r="BB494" s="288"/>
      <c r="BC494" s="287"/>
      <c r="BD494" s="287"/>
      <c r="BE494" s="290"/>
      <c r="BF494" s="290"/>
      <c r="BG494" s="289"/>
      <c r="BH494" s="289"/>
      <c r="BI494" s="289"/>
      <c r="BJ494" s="289" t="s">
        <v>2284</v>
      </c>
      <c r="BK494" s="293">
        <v>1</v>
      </c>
    </row>
    <row x14ac:dyDescent="0.25" r="495" customHeight="1" ht="31.5">
      <c r="A495" s="287" t="s">
        <v>896</v>
      </c>
      <c r="B495" s="288" t="s">
        <v>896</v>
      </c>
      <c r="C495" s="289" t="s">
        <v>3729</v>
      </c>
      <c r="D495" s="52" t="s">
        <v>3779</v>
      </c>
      <c r="E495" s="92"/>
      <c r="F495" s="92" t="s">
        <v>577</v>
      </c>
      <c r="G495" s="92" t="s">
        <v>3732</v>
      </c>
      <c r="H495" s="92" t="s">
        <v>3780</v>
      </c>
      <c r="I495" s="92" t="s">
        <v>386</v>
      </c>
      <c r="J495" s="92" t="s">
        <v>386</v>
      </c>
      <c r="K495" s="92" t="s">
        <v>386</v>
      </c>
      <c r="L495" s="92" t="s">
        <v>386</v>
      </c>
      <c r="M495" s="92" t="s">
        <v>820</v>
      </c>
      <c r="N495" s="92" t="s">
        <v>386</v>
      </c>
      <c r="O495" s="93" t="s">
        <v>386</v>
      </c>
      <c r="P495" s="92" t="s">
        <v>386</v>
      </c>
      <c r="Q495" s="92" t="s">
        <v>233</v>
      </c>
      <c r="R495" s="52" t="s">
        <v>242</v>
      </c>
      <c r="S495" s="52"/>
      <c r="T495" s="52"/>
      <c r="U495" s="52"/>
      <c r="V495" s="92"/>
      <c r="W495" s="94"/>
      <c r="X495" s="52"/>
      <c r="Y495" s="92"/>
      <c r="Z495" s="94"/>
      <c r="AA495" s="52"/>
      <c r="AB495" s="92" t="s">
        <v>3781</v>
      </c>
      <c r="AC495" s="5" t="s">
        <v>38</v>
      </c>
      <c r="AD495" s="62" t="s">
        <v>238</v>
      </c>
      <c r="AE495" s="62" t="s">
        <v>3745</v>
      </c>
      <c r="AF495" s="62" t="s">
        <v>3778</v>
      </c>
      <c r="AG495" s="62"/>
      <c r="AH495" s="62"/>
      <c r="AI495" s="62"/>
      <c r="AJ495" s="62"/>
      <c r="AK495" s="62" t="s">
        <v>1036</v>
      </c>
      <c r="AL495" s="62" t="s">
        <v>1063</v>
      </c>
      <c r="AM495" s="62"/>
      <c r="AN495" s="62"/>
      <c r="AO495" s="62"/>
      <c r="AP495" s="62"/>
      <c r="AQ495" s="290"/>
      <c r="AR495" s="290"/>
      <c r="AS495" s="293" t="s">
        <v>780</v>
      </c>
      <c r="AT495" s="287" t="s">
        <v>780</v>
      </c>
      <c r="AU495" s="287"/>
      <c r="AV495" s="287"/>
      <c r="AW495" s="287"/>
      <c r="AX495" s="287"/>
      <c r="AY495" s="294"/>
      <c r="AZ495" s="294"/>
      <c r="BA495" s="294"/>
      <c r="BB495" s="288"/>
      <c r="BC495" s="287"/>
      <c r="BD495" s="287"/>
      <c r="BE495" s="290"/>
      <c r="BF495" s="290"/>
      <c r="BG495" s="289"/>
      <c r="BH495" s="289"/>
      <c r="BI495" s="289"/>
      <c r="BJ495" s="289" t="s">
        <v>2284</v>
      </c>
      <c r="BK495" s="293">
        <v>1</v>
      </c>
    </row>
    <row x14ac:dyDescent="0.25" r="496" customHeight="1" ht="31.5">
      <c r="A496" s="287" t="s">
        <v>896</v>
      </c>
      <c r="B496" s="288" t="s">
        <v>896</v>
      </c>
      <c r="C496" s="289" t="s">
        <v>3729</v>
      </c>
      <c r="D496" s="52" t="s">
        <v>3782</v>
      </c>
      <c r="E496" s="92"/>
      <c r="F496" s="92" t="s">
        <v>577</v>
      </c>
      <c r="G496" s="92" t="s">
        <v>3732</v>
      </c>
      <c r="H496" s="92" t="s">
        <v>3783</v>
      </c>
      <c r="I496" s="92" t="s">
        <v>386</v>
      </c>
      <c r="J496" s="92" t="s">
        <v>386</v>
      </c>
      <c r="K496" s="92" t="s">
        <v>386</v>
      </c>
      <c r="L496" s="92" t="s">
        <v>386</v>
      </c>
      <c r="M496" s="92" t="s">
        <v>820</v>
      </c>
      <c r="N496" s="92" t="s">
        <v>386</v>
      </c>
      <c r="O496" s="93" t="s">
        <v>386</v>
      </c>
      <c r="P496" s="92" t="s">
        <v>386</v>
      </c>
      <c r="Q496" s="92" t="s">
        <v>233</v>
      </c>
      <c r="R496" s="52" t="s">
        <v>242</v>
      </c>
      <c r="S496" s="52"/>
      <c r="T496" s="52"/>
      <c r="U496" s="52"/>
      <c r="V496" s="92"/>
      <c r="W496" s="94"/>
      <c r="X496" s="52"/>
      <c r="Y496" s="92"/>
      <c r="Z496" s="94"/>
      <c r="AA496" s="52"/>
      <c r="AB496" s="92" t="s">
        <v>3784</v>
      </c>
      <c r="AC496" s="5" t="s">
        <v>38</v>
      </c>
      <c r="AD496" s="62" t="s">
        <v>238</v>
      </c>
      <c r="AE496" s="62" t="s">
        <v>3745</v>
      </c>
      <c r="AF496" s="62" t="s">
        <v>3785</v>
      </c>
      <c r="AG496" s="62"/>
      <c r="AH496" s="62"/>
      <c r="AI496" s="62"/>
      <c r="AJ496" s="62"/>
      <c r="AK496" s="62" t="s">
        <v>1036</v>
      </c>
      <c r="AL496" s="62" t="s">
        <v>1063</v>
      </c>
      <c r="AM496" s="62"/>
      <c r="AN496" s="62"/>
      <c r="AO496" s="62"/>
      <c r="AP496" s="62"/>
      <c r="AQ496" s="290"/>
      <c r="AR496" s="290"/>
      <c r="AS496" s="293" t="s">
        <v>780</v>
      </c>
      <c r="AT496" s="287" t="s">
        <v>780</v>
      </c>
      <c r="AU496" s="287"/>
      <c r="AV496" s="287"/>
      <c r="AW496" s="287"/>
      <c r="AX496" s="287"/>
      <c r="AY496" s="294"/>
      <c r="AZ496" s="294"/>
      <c r="BA496" s="294"/>
      <c r="BB496" s="288"/>
      <c r="BC496" s="287"/>
      <c r="BD496" s="287"/>
      <c r="BE496" s="290"/>
      <c r="BF496" s="290"/>
      <c r="BG496" s="289"/>
      <c r="BH496" s="289"/>
      <c r="BI496" s="289"/>
      <c r="BJ496" s="289" t="s">
        <v>2284</v>
      </c>
      <c r="BK496" s="293">
        <v>1</v>
      </c>
    </row>
    <row x14ac:dyDescent="0.25" r="497" customHeight="1" ht="54.75">
      <c r="A497" s="287" t="s">
        <v>896</v>
      </c>
      <c r="B497" s="288" t="s">
        <v>896</v>
      </c>
      <c r="C497" s="289" t="s">
        <v>3729</v>
      </c>
      <c r="D497" s="289" t="s">
        <v>3786</v>
      </c>
      <c r="E497" s="290"/>
      <c r="F497" s="290" t="s">
        <v>577</v>
      </c>
      <c r="G497" s="290" t="s">
        <v>3732</v>
      </c>
      <c r="H497" s="290" t="s">
        <v>3043</v>
      </c>
      <c r="I497" s="290" t="s">
        <v>386</v>
      </c>
      <c r="J497" s="290" t="s">
        <v>386</v>
      </c>
      <c r="K497" s="290" t="s">
        <v>386</v>
      </c>
      <c r="L497" s="290" t="s">
        <v>386</v>
      </c>
      <c r="M497" s="295" t="s">
        <v>231</v>
      </c>
      <c r="N497" s="290" t="s">
        <v>386</v>
      </c>
      <c r="O497" s="291" t="s">
        <v>386</v>
      </c>
      <c r="P497" s="290" t="s">
        <v>386</v>
      </c>
      <c r="Q497" s="290" t="s">
        <v>824</v>
      </c>
      <c r="R497" s="289" t="s">
        <v>242</v>
      </c>
      <c r="S497" s="289"/>
      <c r="T497" s="296" t="s">
        <v>3787</v>
      </c>
      <c r="U497" s="289"/>
      <c r="V497" s="290"/>
      <c r="W497" s="292">
        <v>1</v>
      </c>
      <c r="X497" s="289" t="s">
        <v>3736</v>
      </c>
      <c r="Y497" s="290"/>
      <c r="Z497" s="292">
        <v>0</v>
      </c>
      <c r="AA497" s="289"/>
      <c r="AB497" s="290" t="s">
        <v>3788</v>
      </c>
      <c r="AC497" s="5" t="s">
        <v>38</v>
      </c>
      <c r="AD497" s="62" t="s">
        <v>238</v>
      </c>
      <c r="AE497" s="62" t="s">
        <v>3789</v>
      </c>
      <c r="AF497" s="62" t="s">
        <v>3790</v>
      </c>
      <c r="AG497" s="62"/>
      <c r="AH497" s="62"/>
      <c r="AI497" s="62"/>
      <c r="AJ497" s="62" t="s">
        <v>241</v>
      </c>
      <c r="AK497" s="62" t="s">
        <v>238</v>
      </c>
      <c r="AL497" s="62"/>
      <c r="AM497" s="62"/>
      <c r="AN497" s="62"/>
      <c r="AO497" s="62"/>
      <c r="AP497" s="62"/>
      <c r="AQ497" s="290"/>
      <c r="AR497" s="290"/>
      <c r="AS497" s="293" t="s">
        <v>780</v>
      </c>
      <c r="AT497" s="287" t="s">
        <v>780</v>
      </c>
      <c r="AU497" s="287"/>
      <c r="AV497" s="287"/>
      <c r="AW497" s="287"/>
      <c r="AX497" s="287"/>
      <c r="AY497" s="294"/>
      <c r="AZ497" s="294"/>
      <c r="BA497" s="294"/>
      <c r="BB497" s="288"/>
      <c r="BC497" s="287"/>
      <c r="BD497" s="287"/>
      <c r="BE497" s="290"/>
      <c r="BF497" s="290"/>
      <c r="BG497" s="4" t="s">
        <v>3786</v>
      </c>
      <c r="BH497" s="4" t="s">
        <v>3786</v>
      </c>
      <c r="BI497" s="4" t="s">
        <v>3786</v>
      </c>
      <c r="BJ497" s="289" t="s">
        <v>2284</v>
      </c>
      <c r="BK497" s="293">
        <v>1</v>
      </c>
    </row>
    <row x14ac:dyDescent="0.25" r="498" customHeight="1" ht="54.75">
      <c r="A498" s="287" t="s">
        <v>896</v>
      </c>
      <c r="B498" s="288" t="s">
        <v>896</v>
      </c>
      <c r="C498" s="289" t="s">
        <v>3729</v>
      </c>
      <c r="D498" s="289" t="s">
        <v>3791</v>
      </c>
      <c r="E498" s="290"/>
      <c r="F498" s="290" t="s">
        <v>577</v>
      </c>
      <c r="G498" s="290" t="s">
        <v>3732</v>
      </c>
      <c r="H498" s="290" t="s">
        <v>3061</v>
      </c>
      <c r="I498" s="290" t="s">
        <v>386</v>
      </c>
      <c r="J498" s="290" t="s">
        <v>386</v>
      </c>
      <c r="K498" s="290" t="s">
        <v>386</v>
      </c>
      <c r="L498" s="290" t="s">
        <v>386</v>
      </c>
      <c r="M498" s="295" t="s">
        <v>231</v>
      </c>
      <c r="N498" s="290" t="s">
        <v>386</v>
      </c>
      <c r="O498" s="291" t="s">
        <v>386</v>
      </c>
      <c r="P498" s="290" t="s">
        <v>386</v>
      </c>
      <c r="Q498" s="290" t="s">
        <v>3792</v>
      </c>
      <c r="R498" s="289" t="s">
        <v>242</v>
      </c>
      <c r="S498" s="289"/>
      <c r="T498" s="296" t="s">
        <v>3793</v>
      </c>
      <c r="U498" s="289"/>
      <c r="V498" s="290"/>
      <c r="W498" s="292">
        <v>1</v>
      </c>
      <c r="X498" s="289" t="s">
        <v>3736</v>
      </c>
      <c r="Y498" s="290"/>
      <c r="Z498" s="292">
        <v>0</v>
      </c>
      <c r="AA498" s="289"/>
      <c r="AB498" s="290" t="s">
        <v>3794</v>
      </c>
      <c r="AC498" s="5" t="s">
        <v>38</v>
      </c>
      <c r="AD498" s="62" t="s">
        <v>238</v>
      </c>
      <c r="AE498" s="62" t="s">
        <v>3789</v>
      </c>
      <c r="AF498" s="62" t="s">
        <v>3795</v>
      </c>
      <c r="AG498" s="62"/>
      <c r="AH498" s="62"/>
      <c r="AI498" s="62"/>
      <c r="AJ498" s="62" t="s">
        <v>241</v>
      </c>
      <c r="AK498" s="62" t="s">
        <v>238</v>
      </c>
      <c r="AL498" s="62"/>
      <c r="AM498" s="62"/>
      <c r="AN498" s="62"/>
      <c r="AO498" s="62"/>
      <c r="AP498" s="62"/>
      <c r="AQ498" s="290"/>
      <c r="AR498" s="290"/>
      <c r="AS498" s="293" t="s">
        <v>780</v>
      </c>
      <c r="AT498" s="287" t="s">
        <v>780</v>
      </c>
      <c r="AU498" s="287"/>
      <c r="AV498" s="287"/>
      <c r="AW498" s="287"/>
      <c r="AX498" s="287"/>
      <c r="AY498" s="294"/>
      <c r="AZ498" s="294"/>
      <c r="BA498" s="294"/>
      <c r="BB498" s="288"/>
      <c r="BC498" s="287"/>
      <c r="BD498" s="287"/>
      <c r="BE498" s="290"/>
      <c r="BF498" s="290"/>
      <c r="BG498" s="289" t="s">
        <v>3796</v>
      </c>
      <c r="BH498" s="289" t="s">
        <v>3796</v>
      </c>
      <c r="BI498" s="289" t="s">
        <v>3796</v>
      </c>
      <c r="BJ498" s="289" t="s">
        <v>2284</v>
      </c>
      <c r="BK498" s="293">
        <v>1</v>
      </c>
    </row>
    <row x14ac:dyDescent="0.25" r="499" customHeight="1" ht="54.75">
      <c r="A499" s="287" t="s">
        <v>896</v>
      </c>
      <c r="B499" s="288" t="s">
        <v>896</v>
      </c>
      <c r="C499" s="289" t="s">
        <v>3729</v>
      </c>
      <c r="D499" s="289" t="s">
        <v>3797</v>
      </c>
      <c r="E499" s="290"/>
      <c r="F499" s="290" t="s">
        <v>577</v>
      </c>
      <c r="G499" s="290" t="s">
        <v>3732</v>
      </c>
      <c r="H499" s="290" t="s">
        <v>3798</v>
      </c>
      <c r="I499" s="290" t="s">
        <v>386</v>
      </c>
      <c r="J499" s="290" t="s">
        <v>386</v>
      </c>
      <c r="K499" s="290" t="s">
        <v>386</v>
      </c>
      <c r="L499" s="290" t="s">
        <v>386</v>
      </c>
      <c r="M499" s="290" t="s">
        <v>231</v>
      </c>
      <c r="N499" s="290" t="s">
        <v>386</v>
      </c>
      <c r="O499" s="291" t="s">
        <v>386</v>
      </c>
      <c r="P499" s="290" t="s">
        <v>386</v>
      </c>
      <c r="Q499" s="290" t="s">
        <v>3792</v>
      </c>
      <c r="R499" s="289" t="s">
        <v>242</v>
      </c>
      <c r="S499" s="289"/>
      <c r="T499" s="297" t="s">
        <v>3793</v>
      </c>
      <c r="U499" s="289"/>
      <c r="V499" s="290"/>
      <c r="W499" s="292">
        <v>1</v>
      </c>
      <c r="X499" s="289" t="s">
        <v>3736</v>
      </c>
      <c r="Y499" s="290"/>
      <c r="Z499" s="292">
        <v>0</v>
      </c>
      <c r="AA499" s="289"/>
      <c r="AB499" s="290" t="s">
        <v>3799</v>
      </c>
      <c r="AC499" s="5" t="s">
        <v>38</v>
      </c>
      <c r="AD499" s="62" t="s">
        <v>238</v>
      </c>
      <c r="AE499" s="62" t="s">
        <v>3789</v>
      </c>
      <c r="AF499" s="62" t="s">
        <v>3800</v>
      </c>
      <c r="AG499" s="62"/>
      <c r="AH499" s="62"/>
      <c r="AI499" s="62"/>
      <c r="AJ499" s="62" t="s">
        <v>241</v>
      </c>
      <c r="AK499" s="62" t="s">
        <v>238</v>
      </c>
      <c r="AL499" s="62"/>
      <c r="AM499" s="62"/>
      <c r="AN499" s="62"/>
      <c r="AO499" s="62"/>
      <c r="AP499" s="62"/>
      <c r="AQ499" s="290"/>
      <c r="AR499" s="290"/>
      <c r="AS499" s="293" t="s">
        <v>780</v>
      </c>
      <c r="AT499" s="287" t="s">
        <v>780</v>
      </c>
      <c r="AU499" s="287"/>
      <c r="AV499" s="287"/>
      <c r="AW499" s="287"/>
      <c r="AX499" s="287"/>
      <c r="AY499" s="294"/>
      <c r="AZ499" s="294"/>
      <c r="BA499" s="294"/>
      <c r="BB499" s="288"/>
      <c r="BC499" s="287"/>
      <c r="BD499" s="287"/>
      <c r="BE499" s="290"/>
      <c r="BF499" s="290"/>
      <c r="BG499" s="289" t="s">
        <v>3801</v>
      </c>
      <c r="BH499" s="289" t="s">
        <v>3801</v>
      </c>
      <c r="BI499" s="289" t="s">
        <v>3801</v>
      </c>
      <c r="BJ499" s="289" t="s">
        <v>2284</v>
      </c>
      <c r="BK499" s="293">
        <v>1</v>
      </c>
    </row>
    <row x14ac:dyDescent="0.25" r="500" customHeight="1" ht="54.75">
      <c r="A500" s="287" t="s">
        <v>896</v>
      </c>
      <c r="B500" s="288" t="s">
        <v>896</v>
      </c>
      <c r="C500" s="289" t="s">
        <v>3729</v>
      </c>
      <c r="D500" s="289" t="s">
        <v>3802</v>
      </c>
      <c r="E500" s="290"/>
      <c r="F500" s="290" t="s">
        <v>577</v>
      </c>
      <c r="G500" s="290" t="s">
        <v>3732</v>
      </c>
      <c r="H500" s="290" t="s">
        <v>3070</v>
      </c>
      <c r="I500" s="290" t="s">
        <v>386</v>
      </c>
      <c r="J500" s="290" t="s">
        <v>386</v>
      </c>
      <c r="K500" s="290" t="s">
        <v>386</v>
      </c>
      <c r="L500" s="290" t="s">
        <v>386</v>
      </c>
      <c r="M500" s="295" t="s">
        <v>231</v>
      </c>
      <c r="N500" s="290" t="s">
        <v>386</v>
      </c>
      <c r="O500" s="291" t="s">
        <v>386</v>
      </c>
      <c r="P500" s="290" t="s">
        <v>386</v>
      </c>
      <c r="Q500" s="290" t="s">
        <v>824</v>
      </c>
      <c r="R500" s="289" t="s">
        <v>242</v>
      </c>
      <c r="S500" s="289"/>
      <c r="T500" s="296" t="s">
        <v>3793</v>
      </c>
      <c r="U500" s="289"/>
      <c r="V500" s="290"/>
      <c r="W500" s="292">
        <v>1</v>
      </c>
      <c r="X500" s="289" t="s">
        <v>3736</v>
      </c>
      <c r="Y500" s="290"/>
      <c r="Z500" s="292">
        <v>0</v>
      </c>
      <c r="AA500" s="289"/>
      <c r="AB500" s="290" t="s">
        <v>3803</v>
      </c>
      <c r="AC500" s="5" t="s">
        <v>38</v>
      </c>
      <c r="AD500" s="62" t="s">
        <v>238</v>
      </c>
      <c r="AE500" s="62" t="s">
        <v>3789</v>
      </c>
      <c r="AF500" s="62" t="s">
        <v>3804</v>
      </c>
      <c r="AG500" s="62"/>
      <c r="AH500" s="62"/>
      <c r="AI500" s="62"/>
      <c r="AJ500" s="62" t="s">
        <v>241</v>
      </c>
      <c r="AK500" s="62" t="s">
        <v>238</v>
      </c>
      <c r="AL500" s="62"/>
      <c r="AM500" s="62"/>
      <c r="AN500" s="62"/>
      <c r="AO500" s="62"/>
      <c r="AP500" s="62"/>
      <c r="AQ500" s="290"/>
      <c r="AR500" s="290"/>
      <c r="AS500" s="293" t="s">
        <v>780</v>
      </c>
      <c r="AT500" s="287" t="s">
        <v>780</v>
      </c>
      <c r="AU500" s="287"/>
      <c r="AV500" s="287"/>
      <c r="AW500" s="287"/>
      <c r="AX500" s="287"/>
      <c r="AY500" s="294"/>
      <c r="AZ500" s="294"/>
      <c r="BA500" s="294"/>
      <c r="BB500" s="288"/>
      <c r="BC500" s="287"/>
      <c r="BD500" s="287"/>
      <c r="BE500" s="290"/>
      <c r="BF500" s="290"/>
      <c r="BG500" s="289" t="s">
        <v>3802</v>
      </c>
      <c r="BH500" s="289" t="s">
        <v>3802</v>
      </c>
      <c r="BI500" s="289" t="s">
        <v>3802</v>
      </c>
      <c r="BJ500" s="289" t="s">
        <v>2284</v>
      </c>
      <c r="BK500" s="293">
        <v>1</v>
      </c>
    </row>
    <row x14ac:dyDescent="0.25" r="501" customHeight="1" ht="54.75">
      <c r="A501" s="287" t="s">
        <v>896</v>
      </c>
      <c r="B501" s="288" t="s">
        <v>896</v>
      </c>
      <c r="C501" s="289" t="s">
        <v>3729</v>
      </c>
      <c r="D501" s="289" t="s">
        <v>3805</v>
      </c>
      <c r="E501" s="290"/>
      <c r="F501" s="290" t="s">
        <v>577</v>
      </c>
      <c r="G501" s="290" t="s">
        <v>3732</v>
      </c>
      <c r="H501" s="290" t="s">
        <v>3806</v>
      </c>
      <c r="I501" s="290" t="s">
        <v>386</v>
      </c>
      <c r="J501" s="290" t="s">
        <v>386</v>
      </c>
      <c r="K501" s="290" t="s">
        <v>386</v>
      </c>
      <c r="L501" s="290" t="s">
        <v>386</v>
      </c>
      <c r="M501" s="295" t="s">
        <v>231</v>
      </c>
      <c r="N501" s="290" t="s">
        <v>386</v>
      </c>
      <c r="O501" s="291" t="s">
        <v>386</v>
      </c>
      <c r="P501" s="290" t="s">
        <v>386</v>
      </c>
      <c r="Q501" s="290" t="s">
        <v>3792</v>
      </c>
      <c r="R501" s="289" t="s">
        <v>242</v>
      </c>
      <c r="S501" s="289"/>
      <c r="T501" s="296" t="s">
        <v>3793</v>
      </c>
      <c r="U501" s="289"/>
      <c r="V501" s="290"/>
      <c r="W501" s="292">
        <v>1</v>
      </c>
      <c r="X501" s="289" t="s">
        <v>3736</v>
      </c>
      <c r="Y501" s="290"/>
      <c r="Z501" s="292">
        <v>0</v>
      </c>
      <c r="AA501" s="289"/>
      <c r="AB501" s="290" t="s">
        <v>3807</v>
      </c>
      <c r="AC501" s="5" t="s">
        <v>38</v>
      </c>
      <c r="AD501" s="62" t="s">
        <v>238</v>
      </c>
      <c r="AE501" s="62" t="s">
        <v>3789</v>
      </c>
      <c r="AF501" s="62" t="s">
        <v>3808</v>
      </c>
      <c r="AG501" s="62"/>
      <c r="AH501" s="62"/>
      <c r="AI501" s="62"/>
      <c r="AJ501" s="62" t="s">
        <v>241</v>
      </c>
      <c r="AK501" s="62" t="s">
        <v>238</v>
      </c>
      <c r="AL501" s="62"/>
      <c r="AM501" s="62"/>
      <c r="AN501" s="62"/>
      <c r="AO501" s="62"/>
      <c r="AP501" s="62"/>
      <c r="AQ501" s="290"/>
      <c r="AR501" s="290"/>
      <c r="AS501" s="293" t="s">
        <v>780</v>
      </c>
      <c r="AT501" s="287" t="s">
        <v>780</v>
      </c>
      <c r="AU501" s="287"/>
      <c r="AV501" s="287"/>
      <c r="AW501" s="287"/>
      <c r="AX501" s="287"/>
      <c r="AY501" s="294"/>
      <c r="AZ501" s="294"/>
      <c r="BA501" s="294"/>
      <c r="BB501" s="288"/>
      <c r="BC501" s="287"/>
      <c r="BD501" s="287"/>
      <c r="BE501" s="290"/>
      <c r="BF501" s="290"/>
      <c r="BG501" s="289" t="s">
        <v>3809</v>
      </c>
      <c r="BH501" s="289" t="s">
        <v>3809</v>
      </c>
      <c r="BI501" s="289" t="s">
        <v>3809</v>
      </c>
      <c r="BJ501" s="289" t="s">
        <v>2284</v>
      </c>
      <c r="BK501" s="293">
        <v>1</v>
      </c>
    </row>
    <row x14ac:dyDescent="0.25" r="502" customHeight="1" ht="54.75">
      <c r="A502" s="287" t="s">
        <v>896</v>
      </c>
      <c r="B502" s="288" t="s">
        <v>896</v>
      </c>
      <c r="C502" s="289" t="s">
        <v>3729</v>
      </c>
      <c r="D502" s="289" t="s">
        <v>3810</v>
      </c>
      <c r="E502" s="290"/>
      <c r="F502" s="290" t="s">
        <v>577</v>
      </c>
      <c r="G502" s="290" t="s">
        <v>3732</v>
      </c>
      <c r="H502" s="290" t="s">
        <v>3087</v>
      </c>
      <c r="I502" s="290" t="s">
        <v>386</v>
      </c>
      <c r="J502" s="290" t="s">
        <v>386</v>
      </c>
      <c r="K502" s="290" t="s">
        <v>386</v>
      </c>
      <c r="L502" s="290" t="s">
        <v>386</v>
      </c>
      <c r="M502" s="295" t="s">
        <v>231</v>
      </c>
      <c r="N502" s="290" t="s">
        <v>386</v>
      </c>
      <c r="O502" s="291" t="s">
        <v>386</v>
      </c>
      <c r="P502" s="290" t="s">
        <v>386</v>
      </c>
      <c r="Q502" s="62" t="s">
        <v>824</v>
      </c>
      <c r="R502" s="289" t="s">
        <v>242</v>
      </c>
      <c r="S502" s="289"/>
      <c r="T502" s="296" t="s">
        <v>3787</v>
      </c>
      <c r="U502" s="289"/>
      <c r="V502" s="290"/>
      <c r="W502" s="292">
        <v>1</v>
      </c>
      <c r="X502" s="289" t="s">
        <v>3736</v>
      </c>
      <c r="Y502" s="290"/>
      <c r="Z502" s="292">
        <v>0</v>
      </c>
      <c r="AA502" s="289"/>
      <c r="AB502" s="290" t="s">
        <v>3811</v>
      </c>
      <c r="AC502" s="5" t="s">
        <v>38</v>
      </c>
      <c r="AD502" s="62" t="s">
        <v>238</v>
      </c>
      <c r="AE502" s="62" t="s">
        <v>3812</v>
      </c>
      <c r="AF502" s="62"/>
      <c r="AG502" s="62"/>
      <c r="AH502" s="62"/>
      <c r="AI502" s="62"/>
      <c r="AJ502" s="62"/>
      <c r="AK502" s="62"/>
      <c r="AL502" s="62"/>
      <c r="AM502" s="62"/>
      <c r="AN502" s="62"/>
      <c r="AO502" s="62"/>
      <c r="AP502" s="62"/>
      <c r="AQ502" s="290"/>
      <c r="AR502" s="290"/>
      <c r="AS502" s="293" t="s">
        <v>780</v>
      </c>
      <c r="AT502" s="287" t="s">
        <v>780</v>
      </c>
      <c r="AU502" s="287"/>
      <c r="AV502" s="287"/>
      <c r="AW502" s="287"/>
      <c r="AX502" s="287"/>
      <c r="AY502" s="294"/>
      <c r="AZ502" s="294"/>
      <c r="BA502" s="294"/>
      <c r="BB502" s="288"/>
      <c r="BC502" s="287"/>
      <c r="BD502" s="287"/>
      <c r="BE502" s="290"/>
      <c r="BF502" s="290"/>
      <c r="BG502" s="289" t="s">
        <v>3813</v>
      </c>
      <c r="BH502" s="289" t="s">
        <v>3813</v>
      </c>
      <c r="BI502" s="289" t="s">
        <v>3813</v>
      </c>
      <c r="BJ502" s="289" t="s">
        <v>2284</v>
      </c>
      <c r="BK502" s="293">
        <v>1</v>
      </c>
    </row>
    <row x14ac:dyDescent="0.25" r="503" customHeight="1" ht="55.5">
      <c r="A503" s="287" t="s">
        <v>896</v>
      </c>
      <c r="B503" s="288" t="s">
        <v>896</v>
      </c>
      <c r="C503" s="289" t="s">
        <v>3729</v>
      </c>
      <c r="D503" s="289" t="s">
        <v>3814</v>
      </c>
      <c r="E503" s="290"/>
      <c r="F503" s="290" t="s">
        <v>577</v>
      </c>
      <c r="G503" s="290" t="s">
        <v>3732</v>
      </c>
      <c r="H503" s="290" t="s">
        <v>3103</v>
      </c>
      <c r="I503" s="290" t="s">
        <v>386</v>
      </c>
      <c r="J503" s="290" t="s">
        <v>386</v>
      </c>
      <c r="K503" s="290" t="s">
        <v>386</v>
      </c>
      <c r="L503" s="290" t="s">
        <v>386</v>
      </c>
      <c r="M503" s="290" t="s">
        <v>231</v>
      </c>
      <c r="N503" s="290" t="s">
        <v>386</v>
      </c>
      <c r="O503" s="291" t="s">
        <v>386</v>
      </c>
      <c r="P503" s="290" t="s">
        <v>386</v>
      </c>
      <c r="Q503" s="290" t="s">
        <v>3792</v>
      </c>
      <c r="R503" s="289" t="s">
        <v>242</v>
      </c>
      <c r="S503" s="289"/>
      <c r="T503" s="297" t="s">
        <v>3793</v>
      </c>
      <c r="U503" s="289"/>
      <c r="V503" s="290"/>
      <c r="W503" s="294"/>
      <c r="X503" s="289" t="s">
        <v>3736</v>
      </c>
      <c r="Y503" s="290"/>
      <c r="Z503" s="294"/>
      <c r="AA503" s="289"/>
      <c r="AB503" s="290" t="s">
        <v>3815</v>
      </c>
      <c r="AC503" s="5" t="s">
        <v>38</v>
      </c>
      <c r="AD503" s="62" t="s">
        <v>238</v>
      </c>
      <c r="AE503" s="62" t="s">
        <v>3789</v>
      </c>
      <c r="AF503" s="62" t="s">
        <v>3816</v>
      </c>
      <c r="AG503" s="62"/>
      <c r="AH503" s="62"/>
      <c r="AI503" s="62"/>
      <c r="AJ503" s="62" t="s">
        <v>241</v>
      </c>
      <c r="AK503" s="62" t="s">
        <v>238</v>
      </c>
      <c r="AL503" s="62"/>
      <c r="AM503" s="62"/>
      <c r="AN503" s="62"/>
      <c r="AO503" s="62"/>
      <c r="AP503" s="62"/>
      <c r="AQ503" s="5"/>
      <c r="AR503" s="5"/>
      <c r="AS503" s="30"/>
      <c r="AT503" s="37"/>
      <c r="AU503" s="37"/>
      <c r="AV503" s="37"/>
      <c r="AW503" s="37"/>
      <c r="AX503" s="37"/>
      <c r="AY503" s="38"/>
      <c r="AZ503" s="38"/>
      <c r="BA503" s="38"/>
      <c r="BB503" s="46"/>
      <c r="BC503" s="37"/>
      <c r="BD503" s="37"/>
      <c r="BE503" s="5"/>
      <c r="BF503" s="5"/>
      <c r="BG503" s="31"/>
      <c r="BH503" s="31"/>
      <c r="BI503" s="31"/>
      <c r="BJ503" s="48"/>
      <c r="BK503" s="293">
        <v>1</v>
      </c>
    </row>
    <row x14ac:dyDescent="0.25" r="504" customHeight="1" ht="55.5">
      <c r="A504" s="287" t="s">
        <v>896</v>
      </c>
      <c r="B504" s="288" t="s">
        <v>896</v>
      </c>
      <c r="C504" s="289" t="s">
        <v>3729</v>
      </c>
      <c r="D504" s="289" t="s">
        <v>3817</v>
      </c>
      <c r="E504" s="295"/>
      <c r="F504" s="290" t="s">
        <v>577</v>
      </c>
      <c r="G504" s="290" t="s">
        <v>3732</v>
      </c>
      <c r="H504" s="290" t="s">
        <v>3818</v>
      </c>
      <c r="I504" s="290" t="s">
        <v>386</v>
      </c>
      <c r="J504" s="290" t="s">
        <v>386</v>
      </c>
      <c r="K504" s="290" t="s">
        <v>386</v>
      </c>
      <c r="L504" s="290" t="s">
        <v>386</v>
      </c>
      <c r="M504" s="295" t="s">
        <v>231</v>
      </c>
      <c r="N504" s="290" t="s">
        <v>386</v>
      </c>
      <c r="O504" s="291" t="s">
        <v>386</v>
      </c>
      <c r="P504" s="290" t="s">
        <v>386</v>
      </c>
      <c r="Q504" s="62" t="s">
        <v>824</v>
      </c>
      <c r="R504" s="289" t="s">
        <v>242</v>
      </c>
      <c r="S504" s="31"/>
      <c r="T504" s="296" t="s">
        <v>3787</v>
      </c>
      <c r="U504" s="31"/>
      <c r="V504" s="5"/>
      <c r="W504" s="134"/>
      <c r="X504" s="289" t="s">
        <v>3736</v>
      </c>
      <c r="Y504" s="42"/>
      <c r="Z504" s="38"/>
      <c r="AA504" s="31"/>
      <c r="AB504" s="290" t="s">
        <v>3819</v>
      </c>
      <c r="AC504" s="5" t="s">
        <v>38</v>
      </c>
      <c r="AD504" s="62" t="s">
        <v>238</v>
      </c>
      <c r="AE504" s="62" t="s">
        <v>3745</v>
      </c>
      <c r="AF504" s="62"/>
      <c r="AG504" s="62"/>
      <c r="AH504" s="62"/>
      <c r="AI504" s="62"/>
      <c r="AJ504" s="62"/>
      <c r="AK504" s="62"/>
      <c r="AL504" s="62"/>
      <c r="AM504" s="62"/>
      <c r="AN504" s="62"/>
      <c r="AO504" s="62"/>
      <c r="AP504" s="62"/>
      <c r="AQ504" s="5"/>
      <c r="AR504" s="5"/>
      <c r="AS504" s="30"/>
      <c r="AT504" s="37"/>
      <c r="AU504" s="37"/>
      <c r="AV504" s="37"/>
      <c r="AW504" s="37"/>
      <c r="AX504" s="37"/>
      <c r="AY504" s="38"/>
      <c r="AZ504" s="38"/>
      <c r="BA504" s="38"/>
      <c r="BB504" s="46"/>
      <c r="BC504" s="37"/>
      <c r="BD504" s="37"/>
      <c r="BE504" s="5"/>
      <c r="BF504" s="5"/>
      <c r="BG504" s="31"/>
      <c r="BH504" s="31"/>
      <c r="BI504" s="31"/>
      <c r="BJ504" s="48"/>
      <c r="BK504" s="293">
        <v>1</v>
      </c>
    </row>
    <row x14ac:dyDescent="0.25" r="505" customHeight="1" ht="55.5">
      <c r="A505" s="287" t="s">
        <v>896</v>
      </c>
      <c r="B505" s="288" t="s">
        <v>896</v>
      </c>
      <c r="C505" s="289" t="s">
        <v>3729</v>
      </c>
      <c r="D505" s="289" t="s">
        <v>3820</v>
      </c>
      <c r="E505" s="295"/>
      <c r="F505" s="290" t="s">
        <v>577</v>
      </c>
      <c r="G505" s="290" t="s">
        <v>3732</v>
      </c>
      <c r="H505" s="290" t="s">
        <v>1900</v>
      </c>
      <c r="I505" s="290" t="s">
        <v>386</v>
      </c>
      <c r="J505" s="290" t="s">
        <v>386</v>
      </c>
      <c r="K505" s="290" t="s">
        <v>386</v>
      </c>
      <c r="L505" s="290" t="s">
        <v>386</v>
      </c>
      <c r="M505" s="295" t="s">
        <v>231</v>
      </c>
      <c r="N505" s="290" t="s">
        <v>386</v>
      </c>
      <c r="O505" s="291" t="s">
        <v>386</v>
      </c>
      <c r="P505" s="290" t="s">
        <v>386</v>
      </c>
      <c r="Q505" s="62" t="s">
        <v>233</v>
      </c>
      <c r="R505" s="289" t="s">
        <v>242</v>
      </c>
      <c r="S505" s="31"/>
      <c r="T505" s="296" t="s">
        <v>3787</v>
      </c>
      <c r="U505" s="31"/>
      <c r="V505" s="5"/>
      <c r="W505" s="134"/>
      <c r="X505" s="289" t="s">
        <v>3736</v>
      </c>
      <c r="Y505" s="42"/>
      <c r="Z505" s="38"/>
      <c r="AA505" s="31"/>
      <c r="AB505" s="290" t="s">
        <v>3821</v>
      </c>
      <c r="AC505" s="5" t="s">
        <v>38</v>
      </c>
      <c r="AD505" s="62" t="s">
        <v>238</v>
      </c>
      <c r="AE505" s="62" t="s">
        <v>3789</v>
      </c>
      <c r="AF505" s="62" t="s">
        <v>3822</v>
      </c>
      <c r="AG505" s="62"/>
      <c r="AH505" s="62"/>
      <c r="AI505" s="62"/>
      <c r="AJ505" s="62" t="s">
        <v>241</v>
      </c>
      <c r="AK505" s="62" t="s">
        <v>238</v>
      </c>
      <c r="AL505" s="62"/>
      <c r="AM505" s="62"/>
      <c r="AN505" s="62"/>
      <c r="AO505" s="62"/>
      <c r="AP505" s="62"/>
      <c r="AQ505" s="5"/>
      <c r="AR505" s="5"/>
      <c r="AS505" s="30"/>
      <c r="AT505" s="37"/>
      <c r="AU505" s="37"/>
      <c r="AV505" s="37"/>
      <c r="AW505" s="37"/>
      <c r="AX505" s="37"/>
      <c r="AY505" s="38"/>
      <c r="AZ505" s="38"/>
      <c r="BA505" s="38"/>
      <c r="BB505" s="46"/>
      <c r="BC505" s="37"/>
      <c r="BD505" s="37"/>
      <c r="BE505" s="5"/>
      <c r="BF505" s="5"/>
      <c r="BG505" s="31" t="s">
        <v>3820</v>
      </c>
      <c r="BH505" s="31" t="s">
        <v>3820</v>
      </c>
      <c r="BI505" s="31" t="s">
        <v>3820</v>
      </c>
      <c r="BJ505" s="48"/>
      <c r="BK505" s="293">
        <v>1</v>
      </c>
    </row>
    <row x14ac:dyDescent="0.25" r="506" customHeight="1" ht="55.5">
      <c r="A506" s="287" t="s">
        <v>896</v>
      </c>
      <c r="B506" s="288" t="s">
        <v>896</v>
      </c>
      <c r="C506" s="289" t="s">
        <v>3729</v>
      </c>
      <c r="D506" s="289" t="s">
        <v>3823</v>
      </c>
      <c r="E506" s="295"/>
      <c r="F506" s="290" t="s">
        <v>577</v>
      </c>
      <c r="G506" s="290" t="s">
        <v>3732</v>
      </c>
      <c r="H506" s="290" t="s">
        <v>3110</v>
      </c>
      <c r="I506" s="290" t="s">
        <v>386</v>
      </c>
      <c r="J506" s="290" t="s">
        <v>386</v>
      </c>
      <c r="K506" s="290" t="s">
        <v>386</v>
      </c>
      <c r="L506" s="290" t="s">
        <v>386</v>
      </c>
      <c r="M506" s="295" t="s">
        <v>231</v>
      </c>
      <c r="N506" s="290" t="s">
        <v>386</v>
      </c>
      <c r="O506" s="291" t="s">
        <v>386</v>
      </c>
      <c r="P506" s="290" t="s">
        <v>386</v>
      </c>
      <c r="Q506" s="62" t="s">
        <v>233</v>
      </c>
      <c r="R506" s="289" t="s">
        <v>242</v>
      </c>
      <c r="S506" s="31"/>
      <c r="T506" s="296" t="s">
        <v>3787</v>
      </c>
      <c r="U506" s="31"/>
      <c r="V506" s="5"/>
      <c r="W506" s="134"/>
      <c r="X506" s="289" t="s">
        <v>3736</v>
      </c>
      <c r="Y506" s="42"/>
      <c r="Z506" s="38"/>
      <c r="AA506" s="31"/>
      <c r="AB506" s="290" t="s">
        <v>3824</v>
      </c>
      <c r="AC506" s="5" t="s">
        <v>38</v>
      </c>
      <c r="AD506" s="62" t="s">
        <v>238</v>
      </c>
      <c r="AE506" s="62" t="s">
        <v>3789</v>
      </c>
      <c r="AF506" s="62" t="s">
        <v>3825</v>
      </c>
      <c r="AG506" s="62"/>
      <c r="AH506" s="62"/>
      <c r="AI506" s="62"/>
      <c r="AJ506" s="62" t="s">
        <v>241</v>
      </c>
      <c r="AK506" s="62" t="s">
        <v>238</v>
      </c>
      <c r="AL506" s="62"/>
      <c r="AM506" s="62"/>
      <c r="AN506" s="62"/>
      <c r="AO506" s="62"/>
      <c r="AP506" s="62"/>
      <c r="AQ506" s="5"/>
      <c r="AR506" s="5"/>
      <c r="AS506" s="30"/>
      <c r="AT506" s="37"/>
      <c r="AU506" s="37"/>
      <c r="AV506" s="37"/>
      <c r="AW506" s="37"/>
      <c r="AX506" s="37"/>
      <c r="AY506" s="38"/>
      <c r="AZ506" s="38"/>
      <c r="BA506" s="38"/>
      <c r="BB506" s="46"/>
      <c r="BC506" s="37"/>
      <c r="BD506" s="37"/>
      <c r="BE506" s="5"/>
      <c r="BF506" s="5"/>
      <c r="BG506" s="31" t="s">
        <v>3823</v>
      </c>
      <c r="BH506" s="31" t="s">
        <v>3823</v>
      </c>
      <c r="BI506" s="31" t="s">
        <v>3823</v>
      </c>
      <c r="BJ506" s="48"/>
      <c r="BK506" s="293">
        <v>1</v>
      </c>
    </row>
    <row x14ac:dyDescent="0.25" r="507" customHeight="1" ht="55.5">
      <c r="A507" s="287" t="s">
        <v>896</v>
      </c>
      <c r="B507" s="288" t="s">
        <v>896</v>
      </c>
      <c r="C507" s="289" t="s">
        <v>3729</v>
      </c>
      <c r="D507" s="289" t="s">
        <v>3826</v>
      </c>
      <c r="E507" s="295"/>
      <c r="F507" s="290" t="s">
        <v>577</v>
      </c>
      <c r="G507" s="290" t="s">
        <v>3732</v>
      </c>
      <c r="H507" s="290" t="s">
        <v>3117</v>
      </c>
      <c r="I507" s="290" t="s">
        <v>386</v>
      </c>
      <c r="J507" s="290" t="s">
        <v>386</v>
      </c>
      <c r="K507" s="290" t="s">
        <v>386</v>
      </c>
      <c r="L507" s="290" t="s">
        <v>386</v>
      </c>
      <c r="M507" s="295" t="s">
        <v>231</v>
      </c>
      <c r="N507" s="290" t="s">
        <v>386</v>
      </c>
      <c r="O507" s="291" t="s">
        <v>386</v>
      </c>
      <c r="P507" s="290" t="s">
        <v>386</v>
      </c>
      <c r="Q507" s="62" t="s">
        <v>233</v>
      </c>
      <c r="R507" s="289" t="s">
        <v>242</v>
      </c>
      <c r="S507" s="31"/>
      <c r="T507" s="296" t="s">
        <v>3787</v>
      </c>
      <c r="U507" s="31"/>
      <c r="V507" s="5"/>
      <c r="W507" s="134"/>
      <c r="X507" s="289" t="s">
        <v>3736</v>
      </c>
      <c r="Y507" s="42"/>
      <c r="Z507" s="38"/>
      <c r="AA507" s="31"/>
      <c r="AB507" s="290" t="s">
        <v>3827</v>
      </c>
      <c r="AC507" s="5" t="s">
        <v>38</v>
      </c>
      <c r="AD507" s="62" t="s">
        <v>238</v>
      </c>
      <c r="AE507" s="62" t="s">
        <v>3789</v>
      </c>
      <c r="AF507" s="62" t="s">
        <v>3828</v>
      </c>
      <c r="AG507" s="62"/>
      <c r="AH507" s="62"/>
      <c r="AI507" s="62"/>
      <c r="AJ507" s="62" t="s">
        <v>241</v>
      </c>
      <c r="AK507" s="62" t="s">
        <v>238</v>
      </c>
      <c r="AL507" s="62"/>
      <c r="AM507" s="62"/>
      <c r="AN507" s="62"/>
      <c r="AO507" s="62"/>
      <c r="AP507" s="62"/>
      <c r="AQ507" s="5"/>
      <c r="AR507" s="5"/>
      <c r="AS507" s="30"/>
      <c r="AT507" s="37"/>
      <c r="AU507" s="37"/>
      <c r="AV507" s="37"/>
      <c r="AW507" s="37"/>
      <c r="AX507" s="37"/>
      <c r="AY507" s="38"/>
      <c r="AZ507" s="38"/>
      <c r="BA507" s="38"/>
      <c r="BB507" s="46"/>
      <c r="BC507" s="37"/>
      <c r="BD507" s="37"/>
      <c r="BE507" s="5"/>
      <c r="BF507" s="5"/>
      <c r="BG507" s="31" t="s">
        <v>3826</v>
      </c>
      <c r="BH507" s="31" t="s">
        <v>3826</v>
      </c>
      <c r="BI507" s="31" t="s">
        <v>3826</v>
      </c>
      <c r="BJ507" s="48"/>
      <c r="BK507" s="293">
        <v>1</v>
      </c>
    </row>
    <row x14ac:dyDescent="0.25" r="508" customHeight="1" ht="31.5">
      <c r="A508" s="287" t="s">
        <v>896</v>
      </c>
      <c r="B508" s="288" t="s">
        <v>896</v>
      </c>
      <c r="C508" s="289" t="s">
        <v>3729</v>
      </c>
      <c r="D508" s="298" t="s">
        <v>3829</v>
      </c>
      <c r="E508" s="295"/>
      <c r="F508" s="295" t="s">
        <v>282</v>
      </c>
      <c r="G508" s="298" t="s">
        <v>283</v>
      </c>
      <c r="H508" s="298" t="s">
        <v>3830</v>
      </c>
      <c r="I508" s="290" t="s">
        <v>386</v>
      </c>
      <c r="J508" s="290" t="s">
        <v>386</v>
      </c>
      <c r="K508" s="290" t="s">
        <v>386</v>
      </c>
      <c r="L508" s="290" t="s">
        <v>386</v>
      </c>
      <c r="M508" s="295" t="s">
        <v>820</v>
      </c>
      <c r="N508" s="295"/>
      <c r="O508" s="299"/>
      <c r="P508" s="295"/>
      <c r="Q508" s="62" t="s">
        <v>251</v>
      </c>
      <c r="R508" s="289" t="s">
        <v>242</v>
      </c>
      <c r="S508" s="298"/>
      <c r="T508" s="298" t="s">
        <v>3831</v>
      </c>
      <c r="U508" s="298"/>
      <c r="V508" s="295"/>
      <c r="W508" s="300">
        <v>1</v>
      </c>
      <c r="X508" s="298" t="s">
        <v>285</v>
      </c>
      <c r="Y508" s="295"/>
      <c r="Z508" s="301"/>
      <c r="AA508" s="298"/>
      <c r="AB508" s="295" t="s">
        <v>3832</v>
      </c>
      <c r="AC508" s="5" t="s">
        <v>64</v>
      </c>
      <c r="AD508" s="55" t="s">
        <v>259</v>
      </c>
      <c r="AE508" s="171" t="s">
        <v>291</v>
      </c>
      <c r="AF508" s="55" t="s">
        <v>292</v>
      </c>
      <c r="AG508" s="31" t="s">
        <v>119</v>
      </c>
      <c r="AH508" s="62"/>
      <c r="AI508" s="62"/>
      <c r="AJ508" s="62" t="s">
        <v>262</v>
      </c>
      <c r="AK508" s="62" t="s">
        <v>259</v>
      </c>
      <c r="AL508" s="62"/>
      <c r="AM508" s="62"/>
      <c r="AN508" s="62"/>
      <c r="AO508" s="62"/>
      <c r="AP508" s="62"/>
      <c r="AQ508" s="5"/>
      <c r="AR508" s="295"/>
      <c r="AS508" s="30" t="s">
        <v>780</v>
      </c>
      <c r="AT508" s="302"/>
      <c r="AU508" s="302"/>
      <c r="AV508" s="302"/>
      <c r="AW508" s="302"/>
      <c r="AX508" s="302"/>
      <c r="AY508" s="301"/>
      <c r="AZ508" s="301"/>
      <c r="BA508" s="301"/>
      <c r="BB508" s="303"/>
      <c r="BC508" s="302"/>
      <c r="BD508" s="302"/>
      <c r="BE508" s="295"/>
      <c r="BF508" s="295"/>
      <c r="BG508" s="298" t="s">
        <v>3833</v>
      </c>
      <c r="BH508" s="298" t="s">
        <v>3833</v>
      </c>
      <c r="BI508" s="298" t="s">
        <v>3833</v>
      </c>
      <c r="BJ508" s="298"/>
      <c r="BK508" s="293">
        <v>1</v>
      </c>
    </row>
    <row x14ac:dyDescent="0.25" r="509" customHeight="1" ht="31.5">
      <c r="A509" s="287" t="s">
        <v>896</v>
      </c>
      <c r="B509" s="288" t="s">
        <v>896</v>
      </c>
      <c r="C509" s="289" t="s">
        <v>3729</v>
      </c>
      <c r="D509" s="298" t="s">
        <v>3834</v>
      </c>
      <c r="E509" s="295"/>
      <c r="F509" s="290" t="s">
        <v>577</v>
      </c>
      <c r="G509" s="295" t="s">
        <v>975</v>
      </c>
      <c r="H509" s="298"/>
      <c r="I509" s="290" t="s">
        <v>386</v>
      </c>
      <c r="J509" s="290" t="s">
        <v>386</v>
      </c>
      <c r="K509" s="290" t="s">
        <v>386</v>
      </c>
      <c r="L509" s="290" t="s">
        <v>386</v>
      </c>
      <c r="M509" s="295" t="s">
        <v>820</v>
      </c>
      <c r="N509" s="295"/>
      <c r="O509" s="299"/>
      <c r="P509" s="295"/>
      <c r="Q509" s="62" t="s">
        <v>251</v>
      </c>
      <c r="R509" s="289" t="s">
        <v>242</v>
      </c>
      <c r="S509" s="298"/>
      <c r="T509" s="298" t="s">
        <v>3831</v>
      </c>
      <c r="U509" s="298"/>
      <c r="V509" s="295"/>
      <c r="W509" s="300">
        <v>1</v>
      </c>
      <c r="X509" s="298" t="s">
        <v>821</v>
      </c>
      <c r="Y509" s="295"/>
      <c r="Z509" s="301"/>
      <c r="AA509" s="298" t="s">
        <v>3835</v>
      </c>
      <c r="AB509" s="295" t="s">
        <v>3836</v>
      </c>
      <c r="AC509" s="5" t="s">
        <v>38</v>
      </c>
      <c r="AD509" s="62" t="s">
        <v>259</v>
      </c>
      <c r="AE509" s="304" t="s">
        <v>3189</v>
      </c>
      <c r="AF509" s="62" t="s">
        <v>292</v>
      </c>
      <c r="AG509" s="31" t="s">
        <v>124</v>
      </c>
      <c r="AH509" s="31" t="s">
        <v>55</v>
      </c>
      <c r="AI509" s="31" t="s">
        <v>3190</v>
      </c>
      <c r="AJ509" s="62"/>
      <c r="AK509" s="62" t="s">
        <v>1036</v>
      </c>
      <c r="AL509" s="62" t="s">
        <v>3191</v>
      </c>
      <c r="AM509" s="62"/>
      <c r="AN509" s="62"/>
      <c r="AO509" s="62"/>
      <c r="AP509" s="62"/>
      <c r="AQ509" s="295"/>
      <c r="AR509" s="295"/>
      <c r="AS509" s="30" t="s">
        <v>780</v>
      </c>
      <c r="AT509" s="302"/>
      <c r="AU509" s="302"/>
      <c r="AV509" s="302"/>
      <c r="AW509" s="302"/>
      <c r="AX509" s="302"/>
      <c r="AY509" s="301"/>
      <c r="AZ509" s="301"/>
      <c r="BA509" s="301"/>
      <c r="BB509" s="303"/>
      <c r="BC509" s="302"/>
      <c r="BD509" s="302"/>
      <c r="BE509" s="295"/>
      <c r="BF509" s="295"/>
      <c r="BG509" s="298" t="s">
        <v>3837</v>
      </c>
      <c r="BH509" s="298" t="s">
        <v>3837</v>
      </c>
      <c r="BI509" s="298" t="s">
        <v>3837</v>
      </c>
      <c r="BJ509" s="298"/>
      <c r="BK509" s="293">
        <v>1</v>
      </c>
    </row>
    <row x14ac:dyDescent="0.25" r="510" customHeight="1" ht="31.5">
      <c r="A510" s="287" t="s">
        <v>896</v>
      </c>
      <c r="B510" s="288" t="s">
        <v>896</v>
      </c>
      <c r="C510" s="289" t="s">
        <v>3729</v>
      </c>
      <c r="D510" s="298" t="s">
        <v>3838</v>
      </c>
      <c r="E510" s="295"/>
      <c r="F510" s="290" t="s">
        <v>577</v>
      </c>
      <c r="G510" s="295" t="s">
        <v>975</v>
      </c>
      <c r="H510" s="298"/>
      <c r="I510" s="290" t="s">
        <v>386</v>
      </c>
      <c r="J510" s="290" t="s">
        <v>386</v>
      </c>
      <c r="K510" s="290" t="s">
        <v>386</v>
      </c>
      <c r="L510" s="290" t="s">
        <v>386</v>
      </c>
      <c r="M510" s="295" t="s">
        <v>231</v>
      </c>
      <c r="N510" s="295"/>
      <c r="O510" s="299"/>
      <c r="P510" s="295"/>
      <c r="Q510" s="62" t="s">
        <v>251</v>
      </c>
      <c r="R510" s="289" t="s">
        <v>242</v>
      </c>
      <c r="S510" s="298"/>
      <c r="T510" s="298" t="s">
        <v>3831</v>
      </c>
      <c r="U510" s="298"/>
      <c r="V510" s="295"/>
      <c r="W510" s="300">
        <v>1</v>
      </c>
      <c r="X510" s="298" t="s">
        <v>821</v>
      </c>
      <c r="Y510" s="295"/>
      <c r="Z510" s="301"/>
      <c r="AA510" s="298" t="s">
        <v>3839</v>
      </c>
      <c r="AB510" s="295" t="s">
        <v>3840</v>
      </c>
      <c r="AC510" s="5" t="s">
        <v>38</v>
      </c>
      <c r="AD510" s="55" t="s">
        <v>238</v>
      </c>
      <c r="AE510" s="304" t="s">
        <v>3038</v>
      </c>
      <c r="AF510" s="62" t="s">
        <v>292</v>
      </c>
      <c r="AG510" s="31" t="s">
        <v>124</v>
      </c>
      <c r="AH510" s="31" t="s">
        <v>67</v>
      </c>
      <c r="AI510" s="62"/>
      <c r="AJ510" s="62" t="s">
        <v>241</v>
      </c>
      <c r="AK510" s="62" t="s">
        <v>238</v>
      </c>
      <c r="AL510" s="62"/>
      <c r="AM510" s="62"/>
      <c r="AN510" s="62"/>
      <c r="AO510" s="62"/>
      <c r="AP510" s="62"/>
      <c r="AQ510" s="295"/>
      <c r="AR510" s="295"/>
      <c r="AS510" s="30" t="s">
        <v>780</v>
      </c>
      <c r="AT510" s="302"/>
      <c r="AU510" s="302"/>
      <c r="AV510" s="302"/>
      <c r="AW510" s="302"/>
      <c r="AX510" s="302"/>
      <c r="AY510" s="301"/>
      <c r="AZ510" s="301"/>
      <c r="BA510" s="301"/>
      <c r="BB510" s="303"/>
      <c r="BC510" s="302"/>
      <c r="BD510" s="302"/>
      <c r="BE510" s="295"/>
      <c r="BF510" s="295"/>
      <c r="BG510" s="298" t="s">
        <v>3841</v>
      </c>
      <c r="BH510" s="298" t="s">
        <v>3841</v>
      </c>
      <c r="BI510" s="298" t="s">
        <v>3841</v>
      </c>
      <c r="BJ510" s="298"/>
      <c r="BK510" s="293">
        <v>1</v>
      </c>
    </row>
    <row x14ac:dyDescent="0.25" r="511" customHeight="1" ht="31.5">
      <c r="A511" s="287" t="s">
        <v>896</v>
      </c>
      <c r="B511" s="288" t="s">
        <v>896</v>
      </c>
      <c r="C511" s="289" t="s">
        <v>3729</v>
      </c>
      <c r="D511" s="298" t="s">
        <v>3842</v>
      </c>
      <c r="E511" s="295"/>
      <c r="F511" s="295" t="s">
        <v>577</v>
      </c>
      <c r="G511" s="295" t="s">
        <v>975</v>
      </c>
      <c r="H511" s="298"/>
      <c r="I511" s="290" t="s">
        <v>386</v>
      </c>
      <c r="J511" s="290" t="s">
        <v>386</v>
      </c>
      <c r="K511" s="290" t="s">
        <v>386</v>
      </c>
      <c r="L511" s="290" t="s">
        <v>386</v>
      </c>
      <c r="M511" s="295" t="s">
        <v>820</v>
      </c>
      <c r="N511" s="295"/>
      <c r="O511" s="299"/>
      <c r="P511" s="295"/>
      <c r="Q511" s="62" t="s">
        <v>251</v>
      </c>
      <c r="R511" s="289" t="s">
        <v>242</v>
      </c>
      <c r="S511" s="298"/>
      <c r="T511" s="298" t="s">
        <v>3831</v>
      </c>
      <c r="U511" s="298"/>
      <c r="V511" s="295"/>
      <c r="W511" s="300">
        <v>1</v>
      </c>
      <c r="X511" s="298" t="s">
        <v>273</v>
      </c>
      <c r="Y511" s="295"/>
      <c r="Z511" s="301"/>
      <c r="AA511" s="298" t="s">
        <v>3843</v>
      </c>
      <c r="AB511" s="305" t="s">
        <v>3844</v>
      </c>
      <c r="AC511" s="5" t="s">
        <v>38</v>
      </c>
      <c r="AD511" s="62" t="s">
        <v>259</v>
      </c>
      <c r="AE511" s="304" t="s">
        <v>3271</v>
      </c>
      <c r="AF511" s="62" t="s">
        <v>292</v>
      </c>
      <c r="AG511" s="31" t="s">
        <v>136</v>
      </c>
      <c r="AH511" s="31" t="s">
        <v>55</v>
      </c>
      <c r="AI511" s="62" t="s">
        <v>3272</v>
      </c>
      <c r="AJ511" s="62"/>
      <c r="AK511" s="62" t="s">
        <v>1036</v>
      </c>
      <c r="AL511" s="62" t="s">
        <v>3191</v>
      </c>
      <c r="AM511" s="62"/>
      <c r="AN511" s="62"/>
      <c r="AO511" s="62"/>
      <c r="AP511" s="62"/>
      <c r="AQ511" s="295"/>
      <c r="AR511" s="295"/>
      <c r="AS511" s="30" t="s">
        <v>780</v>
      </c>
      <c r="AT511" s="302"/>
      <c r="AU511" s="302"/>
      <c r="AV511" s="302"/>
      <c r="AW511" s="302"/>
      <c r="AX511" s="302"/>
      <c r="AY511" s="301"/>
      <c r="AZ511" s="301"/>
      <c r="BA511" s="301"/>
      <c r="BB511" s="303"/>
      <c r="BC511" s="302"/>
      <c r="BD511" s="302"/>
      <c r="BE511" s="295"/>
      <c r="BF511" s="295"/>
      <c r="BG511" s="298" t="s">
        <v>3845</v>
      </c>
      <c r="BH511" s="298" t="s">
        <v>3845</v>
      </c>
      <c r="BI511" s="298" t="s">
        <v>3845</v>
      </c>
      <c r="BJ511" s="298"/>
      <c r="BK511" s="293">
        <v>1</v>
      </c>
    </row>
    <row x14ac:dyDescent="0.25" r="512" customHeight="1" ht="31.5">
      <c r="A512" s="287" t="s">
        <v>896</v>
      </c>
      <c r="B512" s="288" t="s">
        <v>896</v>
      </c>
      <c r="C512" s="289" t="s">
        <v>3729</v>
      </c>
      <c r="D512" s="298" t="s">
        <v>3846</v>
      </c>
      <c r="E512" s="295"/>
      <c r="F512" s="298" t="s">
        <v>226</v>
      </c>
      <c r="G512" s="295" t="s">
        <v>975</v>
      </c>
      <c r="H512" s="298"/>
      <c r="I512" s="290" t="s">
        <v>386</v>
      </c>
      <c r="J512" s="290" t="s">
        <v>386</v>
      </c>
      <c r="K512" s="290" t="s">
        <v>386</v>
      </c>
      <c r="L512" s="290" t="s">
        <v>386</v>
      </c>
      <c r="M512" s="295" t="s">
        <v>820</v>
      </c>
      <c r="N512" s="295"/>
      <c r="O512" s="299"/>
      <c r="P512" s="295"/>
      <c r="Q512" s="62" t="s">
        <v>251</v>
      </c>
      <c r="R512" s="289" t="s">
        <v>242</v>
      </c>
      <c r="S512" s="298"/>
      <c r="T512" s="298" t="s">
        <v>3831</v>
      </c>
      <c r="U512" s="298"/>
      <c r="V512" s="295"/>
      <c r="W512" s="300">
        <v>1</v>
      </c>
      <c r="X512" s="298" t="s">
        <v>273</v>
      </c>
      <c r="Y512" s="295"/>
      <c r="Z512" s="301"/>
      <c r="AA512" s="298" t="s">
        <v>3847</v>
      </c>
      <c r="AB512" s="305" t="s">
        <v>3848</v>
      </c>
      <c r="AC512" s="57" t="s">
        <v>52</v>
      </c>
      <c r="AD512" s="62" t="s">
        <v>259</v>
      </c>
      <c r="AE512" s="304" t="s">
        <v>3271</v>
      </c>
      <c r="AF512" s="62" t="s">
        <v>292</v>
      </c>
      <c r="AG512" s="31" t="s">
        <v>138</v>
      </c>
      <c r="AH512" s="31" t="s">
        <v>67</v>
      </c>
      <c r="AI512" s="62" t="s">
        <v>3272</v>
      </c>
      <c r="AJ512" s="62"/>
      <c r="AK512" s="62" t="s">
        <v>1036</v>
      </c>
      <c r="AL512" s="62" t="s">
        <v>3191</v>
      </c>
      <c r="AM512" s="62"/>
      <c r="AN512" s="62"/>
      <c r="AO512" s="62"/>
      <c r="AP512" s="62"/>
      <c r="AQ512" s="295"/>
      <c r="AR512" s="295"/>
      <c r="AS512" s="30" t="s">
        <v>780</v>
      </c>
      <c r="AT512" s="302"/>
      <c r="AU512" s="302"/>
      <c r="AV512" s="302"/>
      <c r="AW512" s="302"/>
      <c r="AX512" s="302"/>
      <c r="AY512" s="301"/>
      <c r="AZ512" s="301"/>
      <c r="BA512" s="301"/>
      <c r="BB512" s="303"/>
      <c r="BC512" s="302"/>
      <c r="BD512" s="302"/>
      <c r="BE512" s="295"/>
      <c r="BF512" s="295"/>
      <c r="BG512" s="298" t="s">
        <v>3849</v>
      </c>
      <c r="BH512" s="298" t="s">
        <v>3849</v>
      </c>
      <c r="BI512" s="298" t="s">
        <v>3849</v>
      </c>
      <c r="BJ512" s="298"/>
      <c r="BK512" s="293">
        <v>1</v>
      </c>
    </row>
    <row x14ac:dyDescent="0.25" r="513" customHeight="1" ht="31.5">
      <c r="A513" s="287" t="s">
        <v>896</v>
      </c>
      <c r="B513" s="288" t="s">
        <v>896</v>
      </c>
      <c r="C513" s="289" t="s">
        <v>3729</v>
      </c>
      <c r="D513" s="298" t="s">
        <v>3850</v>
      </c>
      <c r="E513" s="295"/>
      <c r="F513" s="295" t="s">
        <v>577</v>
      </c>
      <c r="G513" s="295" t="s">
        <v>975</v>
      </c>
      <c r="H513" s="298"/>
      <c r="I513" s="290" t="s">
        <v>386</v>
      </c>
      <c r="J513" s="290" t="s">
        <v>386</v>
      </c>
      <c r="K513" s="290" t="s">
        <v>386</v>
      </c>
      <c r="L513" s="290" t="s">
        <v>386</v>
      </c>
      <c r="M513" s="295" t="s">
        <v>231</v>
      </c>
      <c r="N513" s="295"/>
      <c r="O513" s="299"/>
      <c r="P513" s="295"/>
      <c r="Q513" s="295" t="s">
        <v>233</v>
      </c>
      <c r="R513" s="289" t="s">
        <v>242</v>
      </c>
      <c r="S513" s="298"/>
      <c r="T513" s="298" t="s">
        <v>3831</v>
      </c>
      <c r="U513" s="298"/>
      <c r="V513" s="295"/>
      <c r="W513" s="300">
        <v>1</v>
      </c>
      <c r="X513" s="298" t="s">
        <v>273</v>
      </c>
      <c r="Y513" s="295"/>
      <c r="Z513" s="301"/>
      <c r="AA513" s="298" t="s">
        <v>3851</v>
      </c>
      <c r="AB513" s="305" t="s">
        <v>3852</v>
      </c>
      <c r="AC513" s="5" t="s">
        <v>38</v>
      </c>
      <c r="AD513" s="55" t="s">
        <v>238</v>
      </c>
      <c r="AE513" s="171" t="s">
        <v>982</v>
      </c>
      <c r="AF513" s="62" t="s">
        <v>292</v>
      </c>
      <c r="AG513" s="31" t="s">
        <v>136</v>
      </c>
      <c r="AH513" s="31" t="s">
        <v>55</v>
      </c>
      <c r="AI513" s="62"/>
      <c r="AJ513" s="62" t="s">
        <v>241</v>
      </c>
      <c r="AK513" s="62" t="s">
        <v>238</v>
      </c>
      <c r="AL513" s="62"/>
      <c r="AM513" s="62"/>
      <c r="AN513" s="62"/>
      <c r="AO513" s="62"/>
      <c r="AP513" s="62"/>
      <c r="AQ513" s="295"/>
      <c r="AR513" s="295"/>
      <c r="AS513" s="30" t="s">
        <v>780</v>
      </c>
      <c r="AT513" s="302"/>
      <c r="AU513" s="302"/>
      <c r="AV513" s="302"/>
      <c r="AW513" s="302"/>
      <c r="AX513" s="302"/>
      <c r="AY513" s="301"/>
      <c r="AZ513" s="301"/>
      <c r="BA513" s="301"/>
      <c r="BB513" s="303"/>
      <c r="BC513" s="302"/>
      <c r="BD513" s="302"/>
      <c r="BE513" s="295"/>
      <c r="BF513" s="295"/>
      <c r="BG513" s="298" t="s">
        <v>3853</v>
      </c>
      <c r="BH513" s="298" t="s">
        <v>3853</v>
      </c>
      <c r="BI513" s="298" t="s">
        <v>3853</v>
      </c>
      <c r="BJ513" s="298"/>
      <c r="BK513" s="293">
        <v>1</v>
      </c>
    </row>
    <row x14ac:dyDescent="0.25" r="514" customHeight="1" ht="31.5">
      <c r="A514" s="287" t="s">
        <v>896</v>
      </c>
      <c r="B514" s="288" t="s">
        <v>896</v>
      </c>
      <c r="C514" s="289" t="s">
        <v>3729</v>
      </c>
      <c r="D514" s="298" t="s">
        <v>3854</v>
      </c>
      <c r="E514" s="295"/>
      <c r="F514" s="298" t="s">
        <v>226</v>
      </c>
      <c r="G514" s="295" t="s">
        <v>975</v>
      </c>
      <c r="H514" s="298"/>
      <c r="I514" s="290" t="s">
        <v>386</v>
      </c>
      <c r="J514" s="290" t="s">
        <v>386</v>
      </c>
      <c r="K514" s="290" t="s">
        <v>386</v>
      </c>
      <c r="L514" s="290" t="s">
        <v>386</v>
      </c>
      <c r="M514" s="295" t="s">
        <v>231</v>
      </c>
      <c r="N514" s="295"/>
      <c r="O514" s="299"/>
      <c r="P514" s="295"/>
      <c r="Q514" s="295" t="s">
        <v>233</v>
      </c>
      <c r="R514" s="289" t="s">
        <v>242</v>
      </c>
      <c r="S514" s="298"/>
      <c r="T514" s="298" t="s">
        <v>3831</v>
      </c>
      <c r="U514" s="298"/>
      <c r="V514" s="295"/>
      <c r="W514" s="300">
        <v>1</v>
      </c>
      <c r="X514" s="298" t="s">
        <v>273</v>
      </c>
      <c r="Y514" s="295"/>
      <c r="Z514" s="301"/>
      <c r="AA514" s="298" t="s">
        <v>3855</v>
      </c>
      <c r="AB514" s="305" t="s">
        <v>3856</v>
      </c>
      <c r="AC514" s="57" t="s">
        <v>52</v>
      </c>
      <c r="AD514" s="62" t="s">
        <v>238</v>
      </c>
      <c r="AE514" s="171" t="s">
        <v>982</v>
      </c>
      <c r="AF514" s="62" t="s">
        <v>292</v>
      </c>
      <c r="AG514" s="31" t="s">
        <v>138</v>
      </c>
      <c r="AH514" s="31" t="s">
        <v>67</v>
      </c>
      <c r="AI514" s="62"/>
      <c r="AJ514" s="62" t="s">
        <v>241</v>
      </c>
      <c r="AK514" s="62" t="s">
        <v>238</v>
      </c>
      <c r="AL514" s="62"/>
      <c r="AM514" s="62"/>
      <c r="AN514" s="62"/>
      <c r="AO514" s="62"/>
      <c r="AP514" s="62"/>
      <c r="AQ514" s="295"/>
      <c r="AR514" s="295"/>
      <c r="AS514" s="30" t="s">
        <v>780</v>
      </c>
      <c r="AT514" s="302"/>
      <c r="AU514" s="302"/>
      <c r="AV514" s="302"/>
      <c r="AW514" s="302"/>
      <c r="AX514" s="302"/>
      <c r="AY514" s="301"/>
      <c r="AZ514" s="301"/>
      <c r="BA514" s="301"/>
      <c r="BB514" s="303"/>
      <c r="BC514" s="302"/>
      <c r="BD514" s="302"/>
      <c r="BE514" s="295"/>
      <c r="BF514" s="295"/>
      <c r="BG514" s="298" t="s">
        <v>3857</v>
      </c>
      <c r="BH514" s="298" t="s">
        <v>3857</v>
      </c>
      <c r="BI514" s="298" t="s">
        <v>3857</v>
      </c>
      <c r="BJ514" s="298"/>
      <c r="BK514" s="293">
        <v>1</v>
      </c>
    </row>
    <row x14ac:dyDescent="0.25" r="515" customHeight="1" ht="31.5">
      <c r="A515" s="306" t="s">
        <v>896</v>
      </c>
      <c r="B515" s="307" t="s">
        <v>896</v>
      </c>
      <c r="C515" s="289" t="s">
        <v>3729</v>
      </c>
      <c r="D515" s="308" t="s">
        <v>3426</v>
      </c>
      <c r="E515" s="309"/>
      <c r="F515" s="309" t="s">
        <v>1953</v>
      </c>
      <c r="G515" s="309" t="s">
        <v>3732</v>
      </c>
      <c r="H515" s="308" t="s">
        <v>3858</v>
      </c>
      <c r="I515" s="309" t="s">
        <v>386</v>
      </c>
      <c r="J515" s="309" t="s">
        <v>386</v>
      </c>
      <c r="K515" s="309" t="s">
        <v>386</v>
      </c>
      <c r="L515" s="309" t="s">
        <v>386</v>
      </c>
      <c r="M515" s="309" t="s">
        <v>231</v>
      </c>
      <c r="N515" s="309"/>
      <c r="O515" s="310"/>
      <c r="P515" s="309"/>
      <c r="Q515" s="307" t="s">
        <v>251</v>
      </c>
      <c r="R515" s="308"/>
      <c r="S515" s="308"/>
      <c r="T515" s="308"/>
      <c r="U515" s="308" t="s">
        <v>3859</v>
      </c>
      <c r="V515" s="309"/>
      <c r="W515" s="311">
        <v>0</v>
      </c>
      <c r="X515" s="308" t="s">
        <v>386</v>
      </c>
      <c r="Y515" s="309"/>
      <c r="Z515" s="312" t="s">
        <v>386</v>
      </c>
      <c r="AA515" s="308" t="s">
        <v>3860</v>
      </c>
      <c r="AB515" s="308" t="s">
        <v>3861</v>
      </c>
      <c r="AC515" s="309" t="s">
        <v>24</v>
      </c>
      <c r="AD515" s="309" t="s">
        <v>259</v>
      </c>
      <c r="AE515" s="313" t="s">
        <v>1957</v>
      </c>
      <c r="AF515" s="309" t="s">
        <v>292</v>
      </c>
      <c r="AG515" s="309"/>
      <c r="AH515" s="309"/>
      <c r="AI515" s="309"/>
      <c r="AJ515" s="309" t="s">
        <v>262</v>
      </c>
      <c r="AK515" s="309" t="s">
        <v>259</v>
      </c>
      <c r="AL515" s="309"/>
      <c r="AM515" s="309"/>
      <c r="AN515" s="309"/>
      <c r="AO515" s="309"/>
      <c r="AP515" s="309"/>
      <c r="AQ515" s="309"/>
      <c r="AR515" s="309"/>
      <c r="AS515" s="314" t="s">
        <v>780</v>
      </c>
      <c r="AT515" s="306"/>
      <c r="AU515" s="306"/>
      <c r="AV515" s="306"/>
      <c r="AW515" s="306"/>
      <c r="AX515" s="306"/>
      <c r="AY515" s="312"/>
      <c r="AZ515" s="312"/>
      <c r="BA515" s="312"/>
      <c r="BB515" s="307"/>
      <c r="BC515" s="306"/>
      <c r="BD515" s="306"/>
      <c r="BE515" s="309"/>
      <c r="BF515" s="309"/>
      <c r="BG515" s="308"/>
      <c r="BH515" s="308"/>
      <c r="BI515" s="308"/>
      <c r="BJ515" s="308"/>
      <c r="BK515" s="314"/>
    </row>
    <row x14ac:dyDescent="0.25" r="516" customHeight="1" ht="31.5">
      <c r="A516" s="306" t="s">
        <v>896</v>
      </c>
      <c r="B516" s="307" t="s">
        <v>896</v>
      </c>
      <c r="C516" s="289" t="s">
        <v>3729</v>
      </c>
      <c r="D516" s="308" t="s">
        <v>3862</v>
      </c>
      <c r="E516" s="315"/>
      <c r="F516" s="315" t="s">
        <v>1953</v>
      </c>
      <c r="G516" s="315" t="s">
        <v>229</v>
      </c>
      <c r="H516" s="308" t="s">
        <v>3863</v>
      </c>
      <c r="I516" s="309" t="s">
        <v>386</v>
      </c>
      <c r="J516" s="309" t="s">
        <v>386</v>
      </c>
      <c r="K516" s="309" t="s">
        <v>386</v>
      </c>
      <c r="L516" s="309" t="s">
        <v>386</v>
      </c>
      <c r="M516" s="315" t="s">
        <v>231</v>
      </c>
      <c r="N516" s="315"/>
      <c r="O516" s="316"/>
      <c r="P516" s="315"/>
      <c r="Q516" s="307" t="s">
        <v>251</v>
      </c>
      <c r="R516" s="308"/>
      <c r="S516" s="308"/>
      <c r="T516" s="308"/>
      <c r="U516" s="308" t="s">
        <v>3864</v>
      </c>
      <c r="V516" s="315"/>
      <c r="W516" s="311">
        <v>0</v>
      </c>
      <c r="X516" s="308" t="s">
        <v>386</v>
      </c>
      <c r="Y516" s="315"/>
      <c r="Z516" s="317" t="s">
        <v>386</v>
      </c>
      <c r="AA516" s="308" t="s">
        <v>3862</v>
      </c>
      <c r="AB516" s="308" t="s">
        <v>3865</v>
      </c>
      <c r="AC516" s="315" t="s">
        <v>24</v>
      </c>
      <c r="AD516" s="309" t="s">
        <v>259</v>
      </c>
      <c r="AE516" s="313" t="s">
        <v>1957</v>
      </c>
      <c r="AF516" s="309" t="s">
        <v>292</v>
      </c>
      <c r="AG516" s="309"/>
      <c r="AH516" s="309"/>
      <c r="AI516" s="309"/>
      <c r="AJ516" s="309" t="s">
        <v>262</v>
      </c>
      <c r="AK516" s="309" t="s">
        <v>259</v>
      </c>
      <c r="AL516" s="309"/>
      <c r="AM516" s="309"/>
      <c r="AN516" s="315"/>
      <c r="AO516" s="315"/>
      <c r="AP516" s="315"/>
      <c r="AQ516" s="315"/>
      <c r="AR516" s="315"/>
      <c r="AS516" s="314" t="s">
        <v>780</v>
      </c>
      <c r="AT516" s="306"/>
      <c r="AU516" s="306"/>
      <c r="AV516" s="306"/>
      <c r="AW516" s="306"/>
      <c r="AX516" s="317"/>
      <c r="AY516" s="317"/>
      <c r="AZ516" s="317"/>
      <c r="BA516" s="317"/>
      <c r="BB516" s="315"/>
      <c r="BC516" s="317"/>
      <c r="BD516" s="317"/>
      <c r="BE516" s="315"/>
      <c r="BF516" s="315"/>
      <c r="BG516" s="308"/>
      <c r="BH516" s="308"/>
      <c r="BI516" s="315"/>
      <c r="BJ516" s="315"/>
      <c r="BK516" s="318"/>
    </row>
    <row x14ac:dyDescent="0.25" r="517" customHeight="1" ht="31.5">
      <c r="A517" s="306" t="s">
        <v>896</v>
      </c>
      <c r="B517" s="307" t="s">
        <v>896</v>
      </c>
      <c r="C517" s="289" t="s">
        <v>3729</v>
      </c>
      <c r="D517" s="308" t="s">
        <v>3866</v>
      </c>
      <c r="E517" s="315"/>
      <c r="F517" s="315" t="s">
        <v>1953</v>
      </c>
      <c r="G517" s="315" t="s">
        <v>3867</v>
      </c>
      <c r="H517" s="308" t="s">
        <v>2662</v>
      </c>
      <c r="I517" s="309" t="s">
        <v>386</v>
      </c>
      <c r="J517" s="309" t="s">
        <v>386</v>
      </c>
      <c r="K517" s="309" t="s">
        <v>386</v>
      </c>
      <c r="L517" s="309" t="s">
        <v>386</v>
      </c>
      <c r="M517" s="315" t="s">
        <v>231</v>
      </c>
      <c r="N517" s="315"/>
      <c r="O517" s="316"/>
      <c r="P517" s="315"/>
      <c r="Q517" s="307" t="s">
        <v>251</v>
      </c>
      <c r="R517" s="308"/>
      <c r="S517" s="308"/>
      <c r="T517" s="308"/>
      <c r="U517" s="308" t="s">
        <v>3868</v>
      </c>
      <c r="V517" s="315"/>
      <c r="W517" s="311">
        <v>0</v>
      </c>
      <c r="X517" s="308" t="s">
        <v>386</v>
      </c>
      <c r="Y517" s="315"/>
      <c r="Z517" s="317" t="s">
        <v>386</v>
      </c>
      <c r="AA517" s="308" t="s">
        <v>3866</v>
      </c>
      <c r="AB517" s="308" t="s">
        <v>3869</v>
      </c>
      <c r="AC517" s="315" t="s">
        <v>24</v>
      </c>
      <c r="AD517" s="309" t="s">
        <v>259</v>
      </c>
      <c r="AE517" s="313" t="s">
        <v>1957</v>
      </c>
      <c r="AF517" s="309" t="s">
        <v>292</v>
      </c>
      <c r="AG517" s="309"/>
      <c r="AH517" s="309"/>
      <c r="AI517" s="309"/>
      <c r="AJ517" s="309" t="s">
        <v>262</v>
      </c>
      <c r="AK517" s="309" t="s">
        <v>259</v>
      </c>
      <c r="AL517" s="309"/>
      <c r="AM517" s="309"/>
      <c r="AN517" s="315"/>
      <c r="AO517" s="315"/>
      <c r="AP517" s="315"/>
      <c r="AQ517" s="315"/>
      <c r="AR517" s="315"/>
      <c r="AS517" s="314" t="s">
        <v>780</v>
      </c>
      <c r="AT517" s="306"/>
      <c r="AU517" s="306"/>
      <c r="AV517" s="306"/>
      <c r="AW517" s="306"/>
      <c r="AX517" s="317"/>
      <c r="AY517" s="317"/>
      <c r="AZ517" s="317"/>
      <c r="BA517" s="317"/>
      <c r="BB517" s="315"/>
      <c r="BC517" s="317"/>
      <c r="BD517" s="317"/>
      <c r="BE517" s="315"/>
      <c r="BF517" s="315"/>
      <c r="BG517" s="308"/>
      <c r="BH517" s="308"/>
      <c r="BI517" s="315"/>
      <c r="BJ517" s="315"/>
      <c r="BK517" s="318"/>
    </row>
    <row x14ac:dyDescent="0.25" r="518" customHeight="1" ht="31.5">
      <c r="A518" s="306" t="s">
        <v>896</v>
      </c>
      <c r="B518" s="307" t="s">
        <v>896</v>
      </c>
      <c r="C518" s="289" t="s">
        <v>3729</v>
      </c>
      <c r="D518" s="308" t="s">
        <v>3870</v>
      </c>
      <c r="E518" s="315"/>
      <c r="F518" s="315" t="s">
        <v>1953</v>
      </c>
      <c r="G518" s="315" t="s">
        <v>3871</v>
      </c>
      <c r="H518" s="308" t="s">
        <v>3872</v>
      </c>
      <c r="I518" s="309" t="s">
        <v>386</v>
      </c>
      <c r="J518" s="309" t="s">
        <v>386</v>
      </c>
      <c r="K518" s="309" t="s">
        <v>386</v>
      </c>
      <c r="L518" s="309" t="s">
        <v>386</v>
      </c>
      <c r="M518" s="315" t="s">
        <v>231</v>
      </c>
      <c r="N518" s="315"/>
      <c r="O518" s="316"/>
      <c r="P518" s="315"/>
      <c r="Q518" s="307" t="s">
        <v>251</v>
      </c>
      <c r="R518" s="308"/>
      <c r="S518" s="308"/>
      <c r="T518" s="308"/>
      <c r="U518" s="308" t="s">
        <v>3873</v>
      </c>
      <c r="V518" s="315"/>
      <c r="W518" s="311">
        <v>0</v>
      </c>
      <c r="X518" s="308" t="s">
        <v>386</v>
      </c>
      <c r="Y518" s="315"/>
      <c r="Z518" s="317" t="s">
        <v>386</v>
      </c>
      <c r="AA518" s="308" t="s">
        <v>3870</v>
      </c>
      <c r="AB518" s="308" t="s">
        <v>3874</v>
      </c>
      <c r="AC518" s="315" t="s">
        <v>24</v>
      </c>
      <c r="AD518" s="309" t="s">
        <v>259</v>
      </c>
      <c r="AE518" s="313" t="s">
        <v>1957</v>
      </c>
      <c r="AF518" s="309" t="s">
        <v>292</v>
      </c>
      <c r="AG518" s="309"/>
      <c r="AH518" s="309"/>
      <c r="AI518" s="309"/>
      <c r="AJ518" s="309" t="s">
        <v>262</v>
      </c>
      <c r="AK518" s="309" t="s">
        <v>259</v>
      </c>
      <c r="AL518" s="309"/>
      <c r="AM518" s="309"/>
      <c r="AN518" s="315"/>
      <c r="AO518" s="315"/>
      <c r="AP518" s="315"/>
      <c r="AQ518" s="315"/>
      <c r="AR518" s="315"/>
      <c r="AS518" s="314" t="s">
        <v>780</v>
      </c>
      <c r="AT518" s="306"/>
      <c r="AU518" s="306"/>
      <c r="AV518" s="306"/>
      <c r="AW518" s="306"/>
      <c r="AX518" s="317"/>
      <c r="AY518" s="317"/>
      <c r="AZ518" s="317"/>
      <c r="BA518" s="317"/>
      <c r="BB518" s="315"/>
      <c r="BC518" s="317"/>
      <c r="BD518" s="317"/>
      <c r="BE518" s="315"/>
      <c r="BF518" s="315"/>
      <c r="BG518" s="308"/>
      <c r="BH518" s="308"/>
      <c r="BI518" s="315"/>
      <c r="BJ518" s="315"/>
      <c r="BK518" s="318"/>
    </row>
    <row x14ac:dyDescent="0.25" r="519" customHeight="1" ht="49.5">
      <c r="A519" s="319" t="s">
        <v>3729</v>
      </c>
      <c r="B519" s="320" t="s">
        <v>3729</v>
      </c>
      <c r="C519" s="320" t="s">
        <v>3729</v>
      </c>
      <c r="D519" s="31" t="s">
        <v>3875</v>
      </c>
      <c r="E519" s="5"/>
      <c r="F519" s="5" t="s">
        <v>577</v>
      </c>
      <c r="G519" s="5" t="s">
        <v>3876</v>
      </c>
      <c r="H519" s="5" t="s">
        <v>386</v>
      </c>
      <c r="I519" s="5" t="s">
        <v>386</v>
      </c>
      <c r="J519" s="5" t="s">
        <v>386</v>
      </c>
      <c r="K519" s="5" t="s">
        <v>386</v>
      </c>
      <c r="L519" s="5" t="s">
        <v>386</v>
      </c>
      <c r="M519" s="5" t="s">
        <v>820</v>
      </c>
      <c r="N519" s="5"/>
      <c r="O519" s="33" t="s">
        <v>3877</v>
      </c>
      <c r="P519" s="5" t="s">
        <v>386</v>
      </c>
      <c r="Q519" s="5" t="s">
        <v>233</v>
      </c>
      <c r="R519" s="31" t="s">
        <v>242</v>
      </c>
      <c r="S519" s="31"/>
      <c r="T519" s="31"/>
      <c r="U519" s="31" t="s">
        <v>3878</v>
      </c>
      <c r="V519" s="5" t="s">
        <v>386</v>
      </c>
      <c r="W519" s="34">
        <v>1</v>
      </c>
      <c r="X519" s="31" t="s">
        <v>3879</v>
      </c>
      <c r="Y519" s="5" t="s">
        <v>386</v>
      </c>
      <c r="Z519" s="38" t="s">
        <v>386</v>
      </c>
      <c r="AA519" s="31" t="s">
        <v>3880</v>
      </c>
      <c r="AB519" s="5" t="s">
        <v>3881</v>
      </c>
      <c r="AC519" s="5" t="s">
        <v>38</v>
      </c>
      <c r="AD519" s="55" t="s">
        <v>596</v>
      </c>
      <c r="AE519" s="55" t="s">
        <v>3882</v>
      </c>
      <c r="AF519" s="5" t="s">
        <v>3881</v>
      </c>
      <c r="AG519" s="55"/>
      <c r="AH519" s="55"/>
      <c r="AI519" s="55"/>
      <c r="AJ519" s="55" t="s">
        <v>605</v>
      </c>
      <c r="AK519" s="55" t="s">
        <v>596</v>
      </c>
      <c r="AL519" s="5" t="s">
        <v>1063</v>
      </c>
      <c r="AM519" s="5"/>
      <c r="AN519" s="5"/>
      <c r="AO519" s="5"/>
      <c r="AP519" s="5"/>
      <c r="AQ519" s="5"/>
      <c r="AR519" s="5"/>
      <c r="AS519" s="30"/>
      <c r="AT519" s="37"/>
      <c r="AU519" s="37"/>
      <c r="AV519" s="37"/>
      <c r="AW519" s="37"/>
      <c r="AX519" s="37"/>
      <c r="AY519" s="38" t="s">
        <v>780</v>
      </c>
      <c r="AZ519" s="38"/>
      <c r="BA519" s="38"/>
      <c r="BB519" s="1"/>
      <c r="BC519" s="37"/>
      <c r="BD519" s="37"/>
      <c r="BE519" s="5"/>
      <c r="BF519" s="5"/>
      <c r="BG519" s="31" t="s">
        <v>3883</v>
      </c>
      <c r="BH519" s="31" t="s">
        <v>780</v>
      </c>
      <c r="BI519" s="31" t="s">
        <v>3883</v>
      </c>
      <c r="BJ519" s="31" t="s">
        <v>755</v>
      </c>
      <c r="BK519" s="30">
        <v>1</v>
      </c>
    </row>
    <row x14ac:dyDescent="0.25" r="520" customHeight="1" ht="31.5">
      <c r="A520" s="319" t="s">
        <v>3729</v>
      </c>
      <c r="B520" s="320" t="s">
        <v>3729</v>
      </c>
      <c r="C520" s="320" t="s">
        <v>3729</v>
      </c>
      <c r="D520" s="31" t="s">
        <v>3884</v>
      </c>
      <c r="E520" s="5"/>
      <c r="F520" s="5" t="s">
        <v>577</v>
      </c>
      <c r="G520" s="5" t="s">
        <v>3876</v>
      </c>
      <c r="H520" s="5" t="s">
        <v>386</v>
      </c>
      <c r="I520" s="5" t="s">
        <v>386</v>
      </c>
      <c r="J520" s="5" t="s">
        <v>386</v>
      </c>
      <c r="K520" s="5" t="s">
        <v>386</v>
      </c>
      <c r="L520" s="5" t="s">
        <v>386</v>
      </c>
      <c r="M520" s="5" t="s">
        <v>820</v>
      </c>
      <c r="N520" s="5"/>
      <c r="O520" s="33"/>
      <c r="P520" s="5"/>
      <c r="Q520" s="5"/>
      <c r="R520" s="31" t="s">
        <v>242</v>
      </c>
      <c r="S520" s="31"/>
      <c r="T520" s="31"/>
      <c r="U520" s="31" t="s">
        <v>3885</v>
      </c>
      <c r="V520" s="5" t="s">
        <v>386</v>
      </c>
      <c r="W520" s="40">
        <v>1</v>
      </c>
      <c r="X520" s="31" t="s">
        <v>3879</v>
      </c>
      <c r="Y520" s="42" t="s">
        <v>386</v>
      </c>
      <c r="Z520" s="38" t="s">
        <v>386</v>
      </c>
      <c r="AA520" s="31" t="s">
        <v>3886</v>
      </c>
      <c r="AB520" s="5" t="s">
        <v>3887</v>
      </c>
      <c r="AC520" s="5" t="s">
        <v>38</v>
      </c>
      <c r="AD520" s="55" t="s">
        <v>596</v>
      </c>
      <c r="AE520" s="55" t="s">
        <v>3882</v>
      </c>
      <c r="AF520" s="5" t="s">
        <v>3887</v>
      </c>
      <c r="AG520" s="55"/>
      <c r="AH520" s="55"/>
      <c r="AI520" s="55"/>
      <c r="AJ520" s="55" t="s">
        <v>605</v>
      </c>
      <c r="AK520" s="55" t="s">
        <v>596</v>
      </c>
      <c r="AL520" s="5" t="s">
        <v>1063</v>
      </c>
      <c r="AM520" s="5"/>
      <c r="AN520" s="5"/>
      <c r="AO520" s="5"/>
      <c r="AP520" s="5"/>
      <c r="AQ520" s="5"/>
      <c r="AR520" s="5"/>
      <c r="AS520" s="30"/>
      <c r="AT520" s="37"/>
      <c r="AU520" s="37"/>
      <c r="AV520" s="37"/>
      <c r="AW520" s="37"/>
      <c r="AX520" s="37"/>
      <c r="AY520" s="38" t="s">
        <v>780</v>
      </c>
      <c r="AZ520" s="38"/>
      <c r="BA520" s="38"/>
      <c r="BB520" s="46"/>
      <c r="BC520" s="37"/>
      <c r="BD520" s="37"/>
      <c r="BE520" s="5"/>
      <c r="BF520" s="5"/>
      <c r="BG520" s="31" t="s">
        <v>3888</v>
      </c>
      <c r="BH520" s="31" t="s">
        <v>780</v>
      </c>
      <c r="BI520" s="31" t="s">
        <v>3888</v>
      </c>
      <c r="BJ520" s="48" t="s">
        <v>755</v>
      </c>
      <c r="BK520" s="49">
        <v>1</v>
      </c>
    </row>
    <row x14ac:dyDescent="0.25" r="521" customHeight="1" ht="31.5">
      <c r="A521" s="319" t="s">
        <v>3729</v>
      </c>
      <c r="B521" s="320" t="s">
        <v>3729</v>
      </c>
      <c r="C521" s="320" t="s">
        <v>3729</v>
      </c>
      <c r="D521" s="31" t="s">
        <v>3889</v>
      </c>
      <c r="E521" s="5"/>
      <c r="F521" s="5" t="s">
        <v>577</v>
      </c>
      <c r="G521" s="5" t="s">
        <v>3876</v>
      </c>
      <c r="H521" s="5" t="s">
        <v>386</v>
      </c>
      <c r="I521" s="5" t="s">
        <v>386</v>
      </c>
      <c r="J521" s="5" t="s">
        <v>386</v>
      </c>
      <c r="K521" s="5" t="s">
        <v>386</v>
      </c>
      <c r="L521" s="5" t="s">
        <v>386</v>
      </c>
      <c r="M521" s="5" t="s">
        <v>820</v>
      </c>
      <c r="N521" s="5"/>
      <c r="O521" s="33"/>
      <c r="P521" s="5"/>
      <c r="Q521" s="5"/>
      <c r="R521" s="31" t="s">
        <v>242</v>
      </c>
      <c r="S521" s="31"/>
      <c r="T521" s="31"/>
      <c r="U521" s="31" t="s">
        <v>3890</v>
      </c>
      <c r="V521" s="5" t="s">
        <v>386</v>
      </c>
      <c r="W521" s="40">
        <v>1</v>
      </c>
      <c r="X521" s="31" t="s">
        <v>3879</v>
      </c>
      <c r="Y521" s="42" t="s">
        <v>386</v>
      </c>
      <c r="Z521" s="38" t="s">
        <v>386</v>
      </c>
      <c r="AA521" s="31" t="s">
        <v>3886</v>
      </c>
      <c r="AB521" s="5" t="s">
        <v>3891</v>
      </c>
      <c r="AC521" s="5" t="s">
        <v>38</v>
      </c>
      <c r="AD521" s="55" t="s">
        <v>596</v>
      </c>
      <c r="AE521" s="55" t="s">
        <v>3882</v>
      </c>
      <c r="AF521" s="5" t="s">
        <v>3892</v>
      </c>
      <c r="AG521" s="55"/>
      <c r="AH521" s="55"/>
      <c r="AI521" s="55"/>
      <c r="AJ521" s="55" t="s">
        <v>605</v>
      </c>
      <c r="AK521" s="55" t="s">
        <v>596</v>
      </c>
      <c r="AL521" s="5" t="s">
        <v>1063</v>
      </c>
      <c r="AM521" s="5"/>
      <c r="AN521" s="5"/>
      <c r="AO521" s="5"/>
      <c r="AP521" s="5"/>
      <c r="AQ521" s="5"/>
      <c r="AR521" s="5"/>
      <c r="AS521" s="30"/>
      <c r="AT521" s="37"/>
      <c r="AU521" s="37"/>
      <c r="AV521" s="37"/>
      <c r="AW521" s="37"/>
      <c r="AX521" s="37"/>
      <c r="AY521" s="38" t="s">
        <v>780</v>
      </c>
      <c r="AZ521" s="38"/>
      <c r="BA521" s="38"/>
      <c r="BB521" s="46"/>
      <c r="BC521" s="37"/>
      <c r="BD521" s="37"/>
      <c r="BE521" s="5"/>
      <c r="BF521" s="5"/>
      <c r="BG521" s="31" t="s">
        <v>3893</v>
      </c>
      <c r="BH521" s="31" t="s">
        <v>780</v>
      </c>
      <c r="BI521" s="31" t="s">
        <v>3893</v>
      </c>
      <c r="BJ521" s="48" t="s">
        <v>755</v>
      </c>
      <c r="BK521" s="30">
        <v>1</v>
      </c>
    </row>
    <row x14ac:dyDescent="0.25" r="522" customHeight="1" ht="31.5">
      <c r="A522" s="319" t="s">
        <v>3729</v>
      </c>
      <c r="B522" s="320" t="s">
        <v>3729</v>
      </c>
      <c r="C522" s="320" t="s">
        <v>3729</v>
      </c>
      <c r="D522" s="31" t="s">
        <v>3894</v>
      </c>
      <c r="E522" s="5"/>
      <c r="F522" s="5" t="s">
        <v>577</v>
      </c>
      <c r="G522" s="5" t="s">
        <v>3876</v>
      </c>
      <c r="H522" s="5" t="s">
        <v>386</v>
      </c>
      <c r="I522" s="5" t="s">
        <v>386</v>
      </c>
      <c r="J522" s="5" t="s">
        <v>386</v>
      </c>
      <c r="K522" s="5" t="s">
        <v>386</v>
      </c>
      <c r="L522" s="5" t="s">
        <v>386</v>
      </c>
      <c r="M522" s="5" t="s">
        <v>820</v>
      </c>
      <c r="N522" s="5"/>
      <c r="O522" s="33"/>
      <c r="P522" s="5"/>
      <c r="Q522" s="5"/>
      <c r="R522" s="31" t="s">
        <v>242</v>
      </c>
      <c r="S522" s="31"/>
      <c r="T522" s="31"/>
      <c r="U522" s="31" t="s">
        <v>3895</v>
      </c>
      <c r="V522" s="5" t="s">
        <v>386</v>
      </c>
      <c r="W522" s="40">
        <v>1</v>
      </c>
      <c r="X522" s="31" t="s">
        <v>3879</v>
      </c>
      <c r="Y522" s="42" t="s">
        <v>386</v>
      </c>
      <c r="Z522" s="38" t="s">
        <v>386</v>
      </c>
      <c r="AA522" s="31" t="s">
        <v>3886</v>
      </c>
      <c r="AB522" s="5" t="s">
        <v>3896</v>
      </c>
      <c r="AC522" s="5" t="s">
        <v>38</v>
      </c>
      <c r="AD522" s="55" t="s">
        <v>596</v>
      </c>
      <c r="AE522" s="55" t="s">
        <v>3882</v>
      </c>
      <c r="AF522" s="5" t="s">
        <v>3896</v>
      </c>
      <c r="AG522" s="55"/>
      <c r="AH522" s="55"/>
      <c r="AI522" s="55"/>
      <c r="AJ522" s="55" t="s">
        <v>605</v>
      </c>
      <c r="AK522" s="55" t="s">
        <v>596</v>
      </c>
      <c r="AL522" s="5" t="s">
        <v>1063</v>
      </c>
      <c r="AM522" s="5"/>
      <c r="AN522" s="5"/>
      <c r="AO522" s="5"/>
      <c r="AP522" s="5"/>
      <c r="AQ522" s="5"/>
      <c r="AR522" s="5"/>
      <c r="AS522" s="30"/>
      <c r="AT522" s="37"/>
      <c r="AU522" s="37"/>
      <c r="AV522" s="37"/>
      <c r="AW522" s="37"/>
      <c r="AX522" s="37"/>
      <c r="AY522" s="38" t="s">
        <v>780</v>
      </c>
      <c r="AZ522" s="38"/>
      <c r="BA522" s="38"/>
      <c r="BB522" s="46"/>
      <c r="BC522" s="37"/>
      <c r="BD522" s="37"/>
      <c r="BE522" s="5"/>
      <c r="BF522" s="5"/>
      <c r="BG522" s="31" t="s">
        <v>3897</v>
      </c>
      <c r="BH522" s="31" t="s">
        <v>780</v>
      </c>
      <c r="BI522" s="31" t="s">
        <v>3897</v>
      </c>
      <c r="BJ522" s="48" t="s">
        <v>755</v>
      </c>
      <c r="BK522" s="30">
        <v>1</v>
      </c>
    </row>
    <row x14ac:dyDescent="0.25" r="523" customHeight="1" ht="31.5">
      <c r="A523" s="319" t="s">
        <v>3729</v>
      </c>
      <c r="B523" s="320" t="s">
        <v>3729</v>
      </c>
      <c r="C523" s="320" t="s">
        <v>3729</v>
      </c>
      <c r="D523" s="31" t="s">
        <v>3898</v>
      </c>
      <c r="E523" s="5"/>
      <c r="F523" s="5" t="s">
        <v>577</v>
      </c>
      <c r="G523" s="5" t="s">
        <v>3876</v>
      </c>
      <c r="H523" s="5" t="s">
        <v>386</v>
      </c>
      <c r="I523" s="5" t="s">
        <v>386</v>
      </c>
      <c r="J523" s="5" t="s">
        <v>386</v>
      </c>
      <c r="K523" s="5" t="s">
        <v>386</v>
      </c>
      <c r="L523" s="5" t="s">
        <v>386</v>
      </c>
      <c r="M523" s="5" t="s">
        <v>820</v>
      </c>
      <c r="N523" s="5"/>
      <c r="O523" s="33"/>
      <c r="P523" s="5"/>
      <c r="Q523" s="5"/>
      <c r="R523" s="31" t="s">
        <v>242</v>
      </c>
      <c r="S523" s="31"/>
      <c r="T523" s="31"/>
      <c r="U523" s="31" t="s">
        <v>3899</v>
      </c>
      <c r="V523" s="5" t="s">
        <v>386</v>
      </c>
      <c r="W523" s="40">
        <v>1</v>
      </c>
      <c r="X523" s="31" t="s">
        <v>3879</v>
      </c>
      <c r="Y523" s="42" t="s">
        <v>386</v>
      </c>
      <c r="Z523" s="38" t="s">
        <v>386</v>
      </c>
      <c r="AA523" s="31" t="s">
        <v>3886</v>
      </c>
      <c r="AB523" s="5" t="s">
        <v>3900</v>
      </c>
      <c r="AC523" s="5" t="s">
        <v>38</v>
      </c>
      <c r="AD523" s="55" t="s">
        <v>596</v>
      </c>
      <c r="AE523" s="55" t="s">
        <v>3882</v>
      </c>
      <c r="AF523" s="5" t="s">
        <v>3900</v>
      </c>
      <c r="AG523" s="55"/>
      <c r="AH523" s="55"/>
      <c r="AI523" s="55"/>
      <c r="AJ523" s="55" t="s">
        <v>605</v>
      </c>
      <c r="AK523" s="55" t="s">
        <v>596</v>
      </c>
      <c r="AL523" s="5" t="s">
        <v>1063</v>
      </c>
      <c r="AM523" s="5"/>
      <c r="AN523" s="5"/>
      <c r="AO523" s="5"/>
      <c r="AP523" s="5"/>
      <c r="AQ523" s="5"/>
      <c r="AR523" s="5"/>
      <c r="AS523" s="30"/>
      <c r="AT523" s="37"/>
      <c r="AU523" s="37"/>
      <c r="AV523" s="37"/>
      <c r="AW523" s="37"/>
      <c r="AX523" s="37"/>
      <c r="AY523" s="38" t="s">
        <v>780</v>
      </c>
      <c r="AZ523" s="38"/>
      <c r="BA523" s="38"/>
      <c r="BB523" s="46"/>
      <c r="BC523" s="37"/>
      <c r="BD523" s="37"/>
      <c r="BE523" s="5"/>
      <c r="BF523" s="5"/>
      <c r="BG523" s="31" t="s">
        <v>3901</v>
      </c>
      <c r="BH523" s="31" t="s">
        <v>780</v>
      </c>
      <c r="BI523" s="31" t="s">
        <v>3901</v>
      </c>
      <c r="BJ523" s="48" t="s">
        <v>755</v>
      </c>
      <c r="BK523" s="49">
        <v>1</v>
      </c>
    </row>
    <row x14ac:dyDescent="0.25" r="524" customHeight="1" ht="31.5">
      <c r="A524" s="319" t="s">
        <v>3729</v>
      </c>
      <c r="B524" s="320" t="s">
        <v>3729</v>
      </c>
      <c r="C524" s="320" t="s">
        <v>3729</v>
      </c>
      <c r="D524" s="31" t="s">
        <v>3902</v>
      </c>
      <c r="E524" s="5"/>
      <c r="F524" s="5" t="s">
        <v>577</v>
      </c>
      <c r="G524" s="5" t="s">
        <v>3876</v>
      </c>
      <c r="H524" s="5" t="s">
        <v>386</v>
      </c>
      <c r="I524" s="5" t="s">
        <v>386</v>
      </c>
      <c r="J524" s="5" t="s">
        <v>386</v>
      </c>
      <c r="K524" s="5" t="s">
        <v>386</v>
      </c>
      <c r="L524" s="5" t="s">
        <v>386</v>
      </c>
      <c r="M524" s="5" t="s">
        <v>820</v>
      </c>
      <c r="N524" s="5"/>
      <c r="O524" s="33"/>
      <c r="P524" s="5"/>
      <c r="Q524" s="5"/>
      <c r="R524" s="31" t="s">
        <v>242</v>
      </c>
      <c r="S524" s="31"/>
      <c r="T524" s="31"/>
      <c r="U524" s="31" t="s">
        <v>3903</v>
      </c>
      <c r="V524" s="5" t="s">
        <v>386</v>
      </c>
      <c r="W524" s="40">
        <v>1</v>
      </c>
      <c r="X524" s="31" t="s">
        <v>3879</v>
      </c>
      <c r="Y524" s="42" t="s">
        <v>386</v>
      </c>
      <c r="Z524" s="38" t="s">
        <v>386</v>
      </c>
      <c r="AA524" s="31" t="s">
        <v>3903</v>
      </c>
      <c r="AB524" s="5" t="s">
        <v>3904</v>
      </c>
      <c r="AC524" s="5" t="s">
        <v>38</v>
      </c>
      <c r="AD524" s="55" t="s">
        <v>596</v>
      </c>
      <c r="AE524" s="55" t="s">
        <v>3882</v>
      </c>
      <c r="AF524" s="5" t="s">
        <v>3904</v>
      </c>
      <c r="AG524" s="55"/>
      <c r="AH524" s="55"/>
      <c r="AI524" s="55"/>
      <c r="AJ524" s="55" t="s">
        <v>605</v>
      </c>
      <c r="AK524" s="55" t="s">
        <v>596</v>
      </c>
      <c r="AL524" s="5" t="s">
        <v>1063</v>
      </c>
      <c r="AM524" s="5"/>
      <c r="AN524" s="5"/>
      <c r="AO524" s="5"/>
      <c r="AP524" s="5"/>
      <c r="AQ524" s="5"/>
      <c r="AR524" s="5"/>
      <c r="AS524" s="30"/>
      <c r="AT524" s="37"/>
      <c r="AU524" s="37"/>
      <c r="AV524" s="37"/>
      <c r="AW524" s="37"/>
      <c r="AX524" s="37"/>
      <c r="AY524" s="38" t="s">
        <v>780</v>
      </c>
      <c r="AZ524" s="38"/>
      <c r="BA524" s="38"/>
      <c r="BB524" s="46"/>
      <c r="BC524" s="37"/>
      <c r="BD524" s="37"/>
      <c r="BE524" s="5"/>
      <c r="BF524" s="5"/>
      <c r="BG524" s="31" t="s">
        <v>3905</v>
      </c>
      <c r="BH524" s="31" t="s">
        <v>780</v>
      </c>
      <c r="BI524" s="31" t="s">
        <v>3905</v>
      </c>
      <c r="BJ524" s="48" t="s">
        <v>755</v>
      </c>
      <c r="BK524" s="30">
        <v>1</v>
      </c>
    </row>
    <row x14ac:dyDescent="0.25" r="525" customHeight="1" ht="31.5">
      <c r="A525" s="319" t="s">
        <v>3729</v>
      </c>
      <c r="B525" s="320" t="s">
        <v>3729</v>
      </c>
      <c r="C525" s="320" t="s">
        <v>3729</v>
      </c>
      <c r="D525" s="31" t="s">
        <v>3906</v>
      </c>
      <c r="E525" s="5"/>
      <c r="F525" s="5" t="s">
        <v>577</v>
      </c>
      <c r="G525" s="5" t="s">
        <v>3876</v>
      </c>
      <c r="H525" s="5" t="s">
        <v>386</v>
      </c>
      <c r="I525" s="5" t="s">
        <v>386</v>
      </c>
      <c r="J525" s="5" t="s">
        <v>386</v>
      </c>
      <c r="K525" s="5" t="s">
        <v>386</v>
      </c>
      <c r="L525" s="5" t="s">
        <v>386</v>
      </c>
      <c r="M525" s="5" t="s">
        <v>820</v>
      </c>
      <c r="N525" s="5"/>
      <c r="O525" s="33"/>
      <c r="P525" s="5"/>
      <c r="Q525" s="5"/>
      <c r="R525" s="31" t="s">
        <v>242</v>
      </c>
      <c r="S525" s="31"/>
      <c r="T525" s="31"/>
      <c r="U525" s="31" t="s">
        <v>3907</v>
      </c>
      <c r="V525" s="5" t="s">
        <v>386</v>
      </c>
      <c r="W525" s="40">
        <v>1</v>
      </c>
      <c r="X525" s="31" t="s">
        <v>3879</v>
      </c>
      <c r="Y525" s="42" t="s">
        <v>386</v>
      </c>
      <c r="Z525" s="38" t="s">
        <v>386</v>
      </c>
      <c r="AA525" s="31" t="s">
        <v>3907</v>
      </c>
      <c r="AB525" s="5" t="s">
        <v>3908</v>
      </c>
      <c r="AC525" s="5" t="s">
        <v>38</v>
      </c>
      <c r="AD525" s="55" t="s">
        <v>596</v>
      </c>
      <c r="AE525" s="55" t="s">
        <v>3882</v>
      </c>
      <c r="AF525" s="5" t="s">
        <v>3908</v>
      </c>
      <c r="AG525" s="55"/>
      <c r="AH525" s="55"/>
      <c r="AI525" s="55"/>
      <c r="AJ525" s="55" t="s">
        <v>605</v>
      </c>
      <c r="AK525" s="55" t="s">
        <v>596</v>
      </c>
      <c r="AL525" s="5" t="s">
        <v>1063</v>
      </c>
      <c r="AM525" s="5"/>
      <c r="AN525" s="5"/>
      <c r="AO525" s="5"/>
      <c r="AP525" s="5"/>
      <c r="AQ525" s="5"/>
      <c r="AR525" s="5"/>
      <c r="AS525" s="30"/>
      <c r="AT525" s="37"/>
      <c r="AU525" s="37"/>
      <c r="AV525" s="37"/>
      <c r="AW525" s="37"/>
      <c r="AX525" s="37"/>
      <c r="AY525" s="38" t="s">
        <v>780</v>
      </c>
      <c r="AZ525" s="38"/>
      <c r="BA525" s="38"/>
      <c r="BB525" s="46"/>
      <c r="BC525" s="37"/>
      <c r="BD525" s="37"/>
      <c r="BE525" s="5"/>
      <c r="BF525" s="5"/>
      <c r="BG525" s="31" t="s">
        <v>3909</v>
      </c>
      <c r="BH525" s="31" t="s">
        <v>780</v>
      </c>
      <c r="BI525" s="31" t="s">
        <v>3909</v>
      </c>
      <c r="BJ525" s="48" t="s">
        <v>755</v>
      </c>
      <c r="BK525" s="30">
        <v>1</v>
      </c>
    </row>
    <row x14ac:dyDescent="0.25" r="526" customHeight="1" ht="31.5">
      <c r="A526" s="319" t="s">
        <v>3729</v>
      </c>
      <c r="B526" s="320" t="s">
        <v>3729</v>
      </c>
      <c r="C526" s="320" t="s">
        <v>3729</v>
      </c>
      <c r="D526" s="31" t="s">
        <v>3910</v>
      </c>
      <c r="E526" s="5"/>
      <c r="F526" s="5" t="s">
        <v>577</v>
      </c>
      <c r="G526" s="5" t="s">
        <v>3876</v>
      </c>
      <c r="H526" s="5" t="s">
        <v>386</v>
      </c>
      <c r="I526" s="5" t="s">
        <v>386</v>
      </c>
      <c r="J526" s="5" t="s">
        <v>386</v>
      </c>
      <c r="K526" s="5" t="s">
        <v>386</v>
      </c>
      <c r="L526" s="5" t="s">
        <v>386</v>
      </c>
      <c r="M526" s="5" t="s">
        <v>820</v>
      </c>
      <c r="N526" s="5"/>
      <c r="O526" s="33"/>
      <c r="P526" s="5"/>
      <c r="Q526" s="5"/>
      <c r="R526" s="31" t="s">
        <v>242</v>
      </c>
      <c r="S526" s="31"/>
      <c r="T526" s="31"/>
      <c r="U526" s="31" t="s">
        <v>3911</v>
      </c>
      <c r="V526" s="5" t="s">
        <v>386</v>
      </c>
      <c r="W526" s="40">
        <v>1</v>
      </c>
      <c r="X526" s="31" t="s">
        <v>3879</v>
      </c>
      <c r="Y526" s="42" t="s">
        <v>386</v>
      </c>
      <c r="Z526" s="38" t="s">
        <v>386</v>
      </c>
      <c r="AA526" s="31" t="s">
        <v>3911</v>
      </c>
      <c r="AB526" s="5" t="s">
        <v>3912</v>
      </c>
      <c r="AC526" s="5" t="s">
        <v>38</v>
      </c>
      <c r="AD526" s="55" t="s">
        <v>596</v>
      </c>
      <c r="AE526" s="55" t="s">
        <v>3882</v>
      </c>
      <c r="AF526" s="5" t="s">
        <v>3912</v>
      </c>
      <c r="AG526" s="55"/>
      <c r="AH526" s="55"/>
      <c r="AI526" s="55"/>
      <c r="AJ526" s="55" t="s">
        <v>605</v>
      </c>
      <c r="AK526" s="55" t="s">
        <v>596</v>
      </c>
      <c r="AL526" s="5" t="s">
        <v>1063</v>
      </c>
      <c r="AM526" s="5"/>
      <c r="AN526" s="5"/>
      <c r="AO526" s="5"/>
      <c r="AP526" s="5"/>
      <c r="AQ526" s="5"/>
      <c r="AR526" s="5"/>
      <c r="AS526" s="30"/>
      <c r="AT526" s="37"/>
      <c r="AU526" s="37"/>
      <c r="AV526" s="37"/>
      <c r="AW526" s="37"/>
      <c r="AX526" s="37"/>
      <c r="AY526" s="38" t="s">
        <v>780</v>
      </c>
      <c r="AZ526" s="38"/>
      <c r="BA526" s="38"/>
      <c r="BB526" s="46"/>
      <c r="BC526" s="37"/>
      <c r="BD526" s="37"/>
      <c r="BE526" s="5"/>
      <c r="BF526" s="5"/>
      <c r="BG526" s="31" t="s">
        <v>3913</v>
      </c>
      <c r="BH526" s="31" t="s">
        <v>780</v>
      </c>
      <c r="BI526" s="31" t="s">
        <v>3913</v>
      </c>
      <c r="BJ526" s="48" t="s">
        <v>755</v>
      </c>
      <c r="BK526" s="49">
        <v>1</v>
      </c>
    </row>
    <row x14ac:dyDescent="0.25" r="527" customHeight="1" ht="31.5">
      <c r="A527" s="319" t="s">
        <v>3729</v>
      </c>
      <c r="B527" s="320" t="s">
        <v>3729</v>
      </c>
      <c r="C527" s="320" t="s">
        <v>3729</v>
      </c>
      <c r="D527" s="31" t="s">
        <v>3914</v>
      </c>
      <c r="E527" s="5"/>
      <c r="F527" s="5" t="s">
        <v>577</v>
      </c>
      <c r="G527" s="5" t="s">
        <v>3876</v>
      </c>
      <c r="H527" s="5" t="s">
        <v>386</v>
      </c>
      <c r="I527" s="5" t="s">
        <v>386</v>
      </c>
      <c r="J527" s="5" t="s">
        <v>386</v>
      </c>
      <c r="K527" s="5" t="s">
        <v>386</v>
      </c>
      <c r="L527" s="5" t="s">
        <v>386</v>
      </c>
      <c r="M527" s="5" t="s">
        <v>231</v>
      </c>
      <c r="N527" s="5"/>
      <c r="O527" s="321" t="s">
        <v>780</v>
      </c>
      <c r="P527" s="5"/>
      <c r="Q527" s="5"/>
      <c r="R527" s="31" t="s">
        <v>242</v>
      </c>
      <c r="S527" s="31"/>
      <c r="T527" s="31"/>
      <c r="U527" s="31" t="s">
        <v>3878</v>
      </c>
      <c r="V527" s="5" t="s">
        <v>386</v>
      </c>
      <c r="W527" s="40">
        <v>1</v>
      </c>
      <c r="X527" s="31" t="s">
        <v>3879</v>
      </c>
      <c r="Y527" s="42"/>
      <c r="Z527" s="38"/>
      <c r="AA527" s="31" t="s">
        <v>3915</v>
      </c>
      <c r="AB527" s="322" t="s">
        <v>3916</v>
      </c>
      <c r="AC527" s="5" t="s">
        <v>38</v>
      </c>
      <c r="AD527" s="55" t="s">
        <v>596</v>
      </c>
      <c r="AE527" s="55" t="s">
        <v>3917</v>
      </c>
      <c r="AF527" s="322" t="s">
        <v>3916</v>
      </c>
      <c r="AG527" s="55"/>
      <c r="AH527" s="55"/>
      <c r="AI527" s="55"/>
      <c r="AJ527" s="55" t="s">
        <v>605</v>
      </c>
      <c r="AK527" s="55" t="s">
        <v>596</v>
      </c>
      <c r="AL527" s="5" t="s">
        <v>1063</v>
      </c>
      <c r="AM527" s="5"/>
      <c r="AN527" s="5"/>
      <c r="AO527" s="5"/>
      <c r="AP527" s="5"/>
      <c r="AQ527" s="5"/>
      <c r="AR527" s="5"/>
      <c r="AS527" s="30"/>
      <c r="AT527" s="37"/>
      <c r="AU527" s="37"/>
      <c r="AV527" s="37"/>
      <c r="AW527" s="37"/>
      <c r="AX527" s="37"/>
      <c r="AY527" s="38" t="s">
        <v>780</v>
      </c>
      <c r="AZ527" s="38"/>
      <c r="BA527" s="38"/>
      <c r="BB527" s="46"/>
      <c r="BC527" s="37"/>
      <c r="BD527" s="37"/>
      <c r="BE527" s="5"/>
      <c r="BF527" s="5"/>
      <c r="BG527" s="31" t="s">
        <v>3918</v>
      </c>
      <c r="BH527" s="31"/>
      <c r="BI527" s="31" t="s">
        <v>3918</v>
      </c>
      <c r="BJ527" s="48"/>
      <c r="BK527" s="30">
        <v>1</v>
      </c>
    </row>
    <row x14ac:dyDescent="0.25" r="528" customHeight="1" ht="31.5">
      <c r="A528" s="319" t="s">
        <v>3729</v>
      </c>
      <c r="B528" s="320" t="s">
        <v>3729</v>
      </c>
      <c r="C528" s="320" t="s">
        <v>3729</v>
      </c>
      <c r="D528" s="31" t="s">
        <v>3919</v>
      </c>
      <c r="E528" s="5"/>
      <c r="F528" s="5" t="s">
        <v>577</v>
      </c>
      <c r="G528" s="5" t="s">
        <v>3876</v>
      </c>
      <c r="H528" s="5" t="s">
        <v>386</v>
      </c>
      <c r="I528" s="5" t="s">
        <v>386</v>
      </c>
      <c r="J528" s="5" t="s">
        <v>386</v>
      </c>
      <c r="K528" s="5" t="s">
        <v>386</v>
      </c>
      <c r="L528" s="5" t="s">
        <v>386</v>
      </c>
      <c r="M528" s="5" t="s">
        <v>231</v>
      </c>
      <c r="N528" s="5"/>
      <c r="O528" s="321" t="s">
        <v>780</v>
      </c>
      <c r="P528" s="5"/>
      <c r="Q528" s="5"/>
      <c r="R528" s="31" t="s">
        <v>242</v>
      </c>
      <c r="S528" s="31"/>
      <c r="T528" s="31"/>
      <c r="U528" s="31" t="s">
        <v>3920</v>
      </c>
      <c r="V528" s="5" t="s">
        <v>386</v>
      </c>
      <c r="W528" s="40">
        <v>1</v>
      </c>
      <c r="X528" s="31" t="s">
        <v>3879</v>
      </c>
      <c r="Y528" s="42"/>
      <c r="Z528" s="38"/>
      <c r="AA528" s="31" t="s">
        <v>3921</v>
      </c>
      <c r="AB528" s="5" t="s">
        <v>3922</v>
      </c>
      <c r="AC528" s="5" t="s">
        <v>38</v>
      </c>
      <c r="AD528" s="55" t="s">
        <v>596</v>
      </c>
      <c r="AE528" s="55" t="s">
        <v>3917</v>
      </c>
      <c r="AF528" s="5" t="s">
        <v>3922</v>
      </c>
      <c r="AG528" s="55"/>
      <c r="AH528" s="55"/>
      <c r="AI528" s="55"/>
      <c r="AJ528" s="55" t="s">
        <v>605</v>
      </c>
      <c r="AK528" s="55" t="s">
        <v>596</v>
      </c>
      <c r="AL528" s="5"/>
      <c r="AM528" s="5"/>
      <c r="AN528" s="5"/>
      <c r="AO528" s="5"/>
      <c r="AP528" s="5"/>
      <c r="AQ528" s="5"/>
      <c r="AR528" s="5"/>
      <c r="AS528" s="30"/>
      <c r="AT528" s="37"/>
      <c r="AU528" s="37"/>
      <c r="AV528" s="37"/>
      <c r="AW528" s="37"/>
      <c r="AX528" s="37"/>
      <c r="AY528" s="38" t="s">
        <v>780</v>
      </c>
      <c r="AZ528" s="38"/>
      <c r="BA528" s="38"/>
      <c r="BB528" s="46"/>
      <c r="BC528" s="37"/>
      <c r="BD528" s="37"/>
      <c r="BE528" s="5"/>
      <c r="BF528" s="5"/>
      <c r="BG528" s="31" t="s">
        <v>3923</v>
      </c>
      <c r="BH528" s="31"/>
      <c r="BI528" s="31" t="s">
        <v>3923</v>
      </c>
      <c r="BJ528" s="48"/>
      <c r="BK528" s="30">
        <v>1</v>
      </c>
    </row>
    <row x14ac:dyDescent="0.25" r="529" customHeight="1" ht="31.5">
      <c r="A529" s="319" t="s">
        <v>3729</v>
      </c>
      <c r="B529" s="320" t="s">
        <v>3729</v>
      </c>
      <c r="C529" s="320" t="s">
        <v>3729</v>
      </c>
      <c r="D529" s="31" t="s">
        <v>3924</v>
      </c>
      <c r="E529" s="5"/>
      <c r="F529" s="5" t="s">
        <v>577</v>
      </c>
      <c r="G529" s="5" t="s">
        <v>3876</v>
      </c>
      <c r="H529" s="5" t="s">
        <v>386</v>
      </c>
      <c r="I529" s="5" t="s">
        <v>386</v>
      </c>
      <c r="J529" s="5" t="s">
        <v>386</v>
      </c>
      <c r="K529" s="5" t="s">
        <v>386</v>
      </c>
      <c r="L529" s="5" t="s">
        <v>386</v>
      </c>
      <c r="M529" s="5" t="s">
        <v>231</v>
      </c>
      <c r="N529" s="5"/>
      <c r="O529" s="321" t="s">
        <v>780</v>
      </c>
      <c r="P529" s="5"/>
      <c r="Q529" s="5"/>
      <c r="R529" s="31" t="s">
        <v>242</v>
      </c>
      <c r="S529" s="31"/>
      <c r="T529" s="31"/>
      <c r="U529" s="31" t="s">
        <v>3890</v>
      </c>
      <c r="V529" s="5" t="s">
        <v>386</v>
      </c>
      <c r="W529" s="40">
        <v>1</v>
      </c>
      <c r="X529" s="31" t="s">
        <v>3879</v>
      </c>
      <c r="Y529" s="42"/>
      <c r="Z529" s="38"/>
      <c r="AA529" s="31" t="s">
        <v>3925</v>
      </c>
      <c r="AB529" s="5" t="s">
        <v>3926</v>
      </c>
      <c r="AC529" s="5" t="s">
        <v>38</v>
      </c>
      <c r="AD529" s="55" t="s">
        <v>596</v>
      </c>
      <c r="AE529" s="55" t="s">
        <v>3917</v>
      </c>
      <c r="AF529" s="5" t="s">
        <v>3926</v>
      </c>
      <c r="AG529" s="55"/>
      <c r="AH529" s="55"/>
      <c r="AI529" s="55"/>
      <c r="AJ529" s="55" t="s">
        <v>605</v>
      </c>
      <c r="AK529" s="55" t="s">
        <v>596</v>
      </c>
      <c r="AL529" s="5"/>
      <c r="AM529" s="5"/>
      <c r="AN529" s="5"/>
      <c r="AO529" s="5"/>
      <c r="AP529" s="5"/>
      <c r="AQ529" s="5"/>
      <c r="AR529" s="5"/>
      <c r="AS529" s="30"/>
      <c r="AT529" s="37"/>
      <c r="AU529" s="37"/>
      <c r="AV529" s="37"/>
      <c r="AW529" s="37"/>
      <c r="AX529" s="37"/>
      <c r="AY529" s="38" t="s">
        <v>780</v>
      </c>
      <c r="AZ529" s="38"/>
      <c r="BA529" s="38"/>
      <c r="BB529" s="46"/>
      <c r="BC529" s="37"/>
      <c r="BD529" s="37"/>
      <c r="BE529" s="5"/>
      <c r="BF529" s="5"/>
      <c r="BG529" s="31" t="s">
        <v>3927</v>
      </c>
      <c r="BH529" s="31"/>
      <c r="BI529" s="31" t="s">
        <v>3927</v>
      </c>
      <c r="BJ529" s="48"/>
      <c r="BK529" s="49">
        <v>1</v>
      </c>
    </row>
    <row x14ac:dyDescent="0.25" r="530" customHeight="1" ht="31.5">
      <c r="A530" s="319" t="s">
        <v>3729</v>
      </c>
      <c r="B530" s="320" t="s">
        <v>3729</v>
      </c>
      <c r="C530" s="320" t="s">
        <v>3729</v>
      </c>
      <c r="D530" s="31" t="s">
        <v>3928</v>
      </c>
      <c r="E530" s="5"/>
      <c r="F530" s="5" t="s">
        <v>577</v>
      </c>
      <c r="G530" s="5" t="s">
        <v>3876</v>
      </c>
      <c r="H530" s="5" t="s">
        <v>386</v>
      </c>
      <c r="I530" s="5" t="s">
        <v>386</v>
      </c>
      <c r="J530" s="5" t="s">
        <v>386</v>
      </c>
      <c r="K530" s="5" t="s">
        <v>386</v>
      </c>
      <c r="L530" s="5" t="s">
        <v>386</v>
      </c>
      <c r="M530" s="5" t="s">
        <v>231</v>
      </c>
      <c r="N530" s="5"/>
      <c r="O530" s="321" t="s">
        <v>780</v>
      </c>
      <c r="P530" s="5"/>
      <c r="Q530" s="5"/>
      <c r="R530" s="31" t="s">
        <v>242</v>
      </c>
      <c r="S530" s="31"/>
      <c r="T530" s="31"/>
      <c r="U530" s="31" t="s">
        <v>3895</v>
      </c>
      <c r="V530" s="5" t="s">
        <v>386</v>
      </c>
      <c r="W530" s="40">
        <v>1</v>
      </c>
      <c r="X530" s="31" t="s">
        <v>3879</v>
      </c>
      <c r="Y530" s="42"/>
      <c r="Z530" s="38"/>
      <c r="AA530" s="31" t="s">
        <v>3929</v>
      </c>
      <c r="AB530" s="322" t="s">
        <v>3930</v>
      </c>
      <c r="AC530" s="5" t="s">
        <v>38</v>
      </c>
      <c r="AD530" s="55" t="s">
        <v>596</v>
      </c>
      <c r="AE530" s="55" t="s">
        <v>3917</v>
      </c>
      <c r="AF530" s="322" t="s">
        <v>3930</v>
      </c>
      <c r="AG530" s="55"/>
      <c r="AH530" s="55"/>
      <c r="AI530" s="55"/>
      <c r="AJ530" s="55" t="s">
        <v>605</v>
      </c>
      <c r="AK530" s="55" t="s">
        <v>596</v>
      </c>
      <c r="AL530" s="62"/>
      <c r="AM530" s="5"/>
      <c r="AN530" s="5"/>
      <c r="AO530" s="5"/>
      <c r="AP530" s="5"/>
      <c r="AQ530" s="5"/>
      <c r="AR530" s="5"/>
      <c r="AS530" s="30"/>
      <c r="AT530" s="37"/>
      <c r="AU530" s="37"/>
      <c r="AV530" s="37"/>
      <c r="AW530" s="37"/>
      <c r="AX530" s="37"/>
      <c r="AY530" s="38" t="s">
        <v>780</v>
      </c>
      <c r="AZ530" s="38"/>
      <c r="BA530" s="38"/>
      <c r="BB530" s="46"/>
      <c r="BC530" s="37"/>
      <c r="BD530" s="37"/>
      <c r="BE530" s="5"/>
      <c r="BF530" s="5"/>
      <c r="BG530" s="31" t="s">
        <v>3931</v>
      </c>
      <c r="BH530" s="31"/>
      <c r="BI530" s="31" t="s">
        <v>3931</v>
      </c>
      <c r="BJ530" s="48"/>
      <c r="BK530" s="30">
        <v>1</v>
      </c>
    </row>
    <row x14ac:dyDescent="0.25" r="531" customHeight="1" ht="31.5">
      <c r="A531" s="319" t="s">
        <v>3729</v>
      </c>
      <c r="B531" s="320" t="s">
        <v>3729</v>
      </c>
      <c r="C531" s="320" t="s">
        <v>3729</v>
      </c>
      <c r="D531" s="31" t="s">
        <v>3932</v>
      </c>
      <c r="E531" s="5"/>
      <c r="F531" s="5" t="s">
        <v>577</v>
      </c>
      <c r="G531" s="5" t="s">
        <v>3876</v>
      </c>
      <c r="H531" s="5" t="s">
        <v>386</v>
      </c>
      <c r="I531" s="5" t="s">
        <v>386</v>
      </c>
      <c r="J531" s="5" t="s">
        <v>386</v>
      </c>
      <c r="K531" s="5" t="s">
        <v>386</v>
      </c>
      <c r="L531" s="5" t="s">
        <v>386</v>
      </c>
      <c r="M531" s="5" t="s">
        <v>231</v>
      </c>
      <c r="N531" s="5"/>
      <c r="O531" s="321" t="s">
        <v>780</v>
      </c>
      <c r="P531" s="5"/>
      <c r="Q531" s="5"/>
      <c r="R531" s="31" t="s">
        <v>242</v>
      </c>
      <c r="S531" s="31"/>
      <c r="T531" s="31"/>
      <c r="U531" s="31" t="s">
        <v>3933</v>
      </c>
      <c r="V531" s="5" t="s">
        <v>386</v>
      </c>
      <c r="W531" s="40">
        <v>1</v>
      </c>
      <c r="X531" s="31" t="s">
        <v>3879</v>
      </c>
      <c r="Y531" s="42"/>
      <c r="Z531" s="38"/>
      <c r="AA531" s="31" t="s">
        <v>3932</v>
      </c>
      <c r="AB531" s="5" t="s">
        <v>3934</v>
      </c>
      <c r="AC531" s="5" t="s">
        <v>38</v>
      </c>
      <c r="AD531" s="55" t="s">
        <v>596</v>
      </c>
      <c r="AE531" s="55" t="s">
        <v>3917</v>
      </c>
      <c r="AF531" s="5" t="s">
        <v>3934</v>
      </c>
      <c r="AG531" s="55"/>
      <c r="AH531" s="55"/>
      <c r="AI531" s="55"/>
      <c r="AJ531" s="55" t="s">
        <v>605</v>
      </c>
      <c r="AK531" s="55" t="s">
        <v>596</v>
      </c>
      <c r="AL531" s="62"/>
      <c r="AM531" s="5"/>
      <c r="AN531" s="5"/>
      <c r="AO531" s="5"/>
      <c r="AP531" s="5"/>
      <c r="AQ531" s="5"/>
      <c r="AR531" s="5"/>
      <c r="AS531" s="30"/>
      <c r="AT531" s="37"/>
      <c r="AU531" s="37"/>
      <c r="AV531" s="37"/>
      <c r="AW531" s="37"/>
      <c r="AX531" s="37"/>
      <c r="AY531" s="38" t="s">
        <v>780</v>
      </c>
      <c r="AZ531" s="38"/>
      <c r="BA531" s="38"/>
      <c r="BB531" s="46"/>
      <c r="BC531" s="37"/>
      <c r="BD531" s="37"/>
      <c r="BE531" s="5"/>
      <c r="BF531" s="5"/>
      <c r="BG531" s="31" t="s">
        <v>3935</v>
      </c>
      <c r="BH531" s="31"/>
      <c r="BI531" s="31" t="s">
        <v>3933</v>
      </c>
      <c r="BJ531" s="48"/>
      <c r="BK531" s="30">
        <v>1</v>
      </c>
    </row>
    <row x14ac:dyDescent="0.25" r="532" customHeight="1" ht="31.5">
      <c r="A532" s="319" t="s">
        <v>3729</v>
      </c>
      <c r="B532" s="320" t="s">
        <v>3729</v>
      </c>
      <c r="C532" s="320" t="s">
        <v>3729</v>
      </c>
      <c r="D532" s="31" t="s">
        <v>3936</v>
      </c>
      <c r="E532" s="5"/>
      <c r="F532" s="5" t="s">
        <v>577</v>
      </c>
      <c r="G532" s="5" t="s">
        <v>3876</v>
      </c>
      <c r="H532" s="5" t="s">
        <v>386</v>
      </c>
      <c r="I532" s="5" t="s">
        <v>386</v>
      </c>
      <c r="J532" s="5" t="s">
        <v>386</v>
      </c>
      <c r="K532" s="5" t="s">
        <v>386</v>
      </c>
      <c r="L532" s="5" t="s">
        <v>386</v>
      </c>
      <c r="M532" s="5" t="s">
        <v>231</v>
      </c>
      <c r="N532" s="5"/>
      <c r="O532" s="33"/>
      <c r="P532" s="5"/>
      <c r="Q532" s="5"/>
      <c r="R532" s="31" t="s">
        <v>242</v>
      </c>
      <c r="S532" s="31"/>
      <c r="T532" s="31"/>
      <c r="U532" s="31" t="s">
        <v>3937</v>
      </c>
      <c r="V532" s="5" t="s">
        <v>386</v>
      </c>
      <c r="W532" s="40">
        <v>1</v>
      </c>
      <c r="X532" s="31" t="s">
        <v>3879</v>
      </c>
      <c r="Y532" s="42"/>
      <c r="Z532" s="38"/>
      <c r="AA532" s="31" t="s">
        <v>3938</v>
      </c>
      <c r="AB532" s="5" t="s">
        <v>3939</v>
      </c>
      <c r="AC532" s="5" t="s">
        <v>38</v>
      </c>
      <c r="AD532" s="55" t="s">
        <v>596</v>
      </c>
      <c r="AE532" s="55" t="s">
        <v>3917</v>
      </c>
      <c r="AF532" s="5" t="s">
        <v>3939</v>
      </c>
      <c r="AG532" s="55"/>
      <c r="AH532" s="55"/>
      <c r="AI532" s="55"/>
      <c r="AJ532" s="55" t="s">
        <v>605</v>
      </c>
      <c r="AK532" s="55" t="s">
        <v>596</v>
      </c>
      <c r="AL532" s="62"/>
      <c r="AM532" s="5"/>
      <c r="AN532" s="5"/>
      <c r="AO532" s="5"/>
      <c r="AP532" s="5"/>
      <c r="AQ532" s="5"/>
      <c r="AR532" s="5"/>
      <c r="AS532" s="30"/>
      <c r="AT532" s="37"/>
      <c r="AU532" s="37"/>
      <c r="AV532" s="37"/>
      <c r="AW532" s="37"/>
      <c r="AX532" s="37"/>
      <c r="AY532" s="38" t="s">
        <v>780</v>
      </c>
      <c r="AZ532" s="38"/>
      <c r="BA532" s="38"/>
      <c r="BB532" s="46"/>
      <c r="BC532" s="37"/>
      <c r="BD532" s="37"/>
      <c r="BE532" s="5"/>
      <c r="BF532" s="5"/>
      <c r="BG532" s="31" t="s">
        <v>3937</v>
      </c>
      <c r="BH532" s="31"/>
      <c r="BI532" s="31" t="s">
        <v>3937</v>
      </c>
      <c r="BJ532" s="48"/>
      <c r="BK532" s="49">
        <v>1</v>
      </c>
    </row>
    <row x14ac:dyDescent="0.25" r="533" customHeight="1" ht="31.5">
      <c r="A533" s="319" t="s">
        <v>3729</v>
      </c>
      <c r="B533" s="320" t="s">
        <v>3729</v>
      </c>
      <c r="C533" s="320" t="s">
        <v>3729</v>
      </c>
      <c r="D533" s="31" t="s">
        <v>3940</v>
      </c>
      <c r="E533" s="5"/>
      <c r="F533" s="5" t="s">
        <v>577</v>
      </c>
      <c r="G533" s="5" t="s">
        <v>3876</v>
      </c>
      <c r="H533" s="5" t="s">
        <v>386</v>
      </c>
      <c r="I533" s="5" t="s">
        <v>386</v>
      </c>
      <c r="J533" s="5" t="s">
        <v>386</v>
      </c>
      <c r="K533" s="5" t="s">
        <v>386</v>
      </c>
      <c r="L533" s="5" t="s">
        <v>386</v>
      </c>
      <c r="M533" s="5" t="s">
        <v>231</v>
      </c>
      <c r="N533" s="5"/>
      <c r="O533" s="33"/>
      <c r="P533" s="5"/>
      <c r="Q533" s="5"/>
      <c r="R533" s="31" t="s">
        <v>242</v>
      </c>
      <c r="S533" s="31"/>
      <c r="T533" s="31"/>
      <c r="U533" s="31" t="s">
        <v>3941</v>
      </c>
      <c r="V533" s="5" t="s">
        <v>386</v>
      </c>
      <c r="W533" s="40">
        <v>1</v>
      </c>
      <c r="X533" s="31" t="s">
        <v>3879</v>
      </c>
      <c r="Y533" s="42"/>
      <c r="Z533" s="38"/>
      <c r="AA533" s="31" t="s">
        <v>3942</v>
      </c>
      <c r="AB533" s="5" t="s">
        <v>3943</v>
      </c>
      <c r="AC533" s="5" t="s">
        <v>38</v>
      </c>
      <c r="AD533" s="55" t="s">
        <v>596</v>
      </c>
      <c r="AE533" s="55" t="s">
        <v>3917</v>
      </c>
      <c r="AF533" s="5" t="s">
        <v>3943</v>
      </c>
      <c r="AG533" s="55"/>
      <c r="AH533" s="55"/>
      <c r="AI533" s="55"/>
      <c r="AJ533" s="55" t="s">
        <v>605</v>
      </c>
      <c r="AK533" s="55" t="s">
        <v>596</v>
      </c>
      <c r="AL533" s="62"/>
      <c r="AM533" s="5"/>
      <c r="AN533" s="5"/>
      <c r="AO533" s="5"/>
      <c r="AP533" s="5"/>
      <c r="AQ533" s="5"/>
      <c r="AR533" s="5"/>
      <c r="AS533" s="30"/>
      <c r="AT533" s="37"/>
      <c r="AU533" s="37"/>
      <c r="AV533" s="37"/>
      <c r="AW533" s="37"/>
      <c r="AX533" s="37"/>
      <c r="AY533" s="38" t="s">
        <v>780</v>
      </c>
      <c r="AZ533" s="38"/>
      <c r="BA533" s="38"/>
      <c r="BB533" s="46"/>
      <c r="BC533" s="37"/>
      <c r="BD533" s="37"/>
      <c r="BE533" s="5"/>
      <c r="BF533" s="5"/>
      <c r="BG533" s="31" t="s">
        <v>3941</v>
      </c>
      <c r="BH533" s="31"/>
      <c r="BI533" s="31" t="s">
        <v>3941</v>
      </c>
      <c r="BJ533" s="48"/>
      <c r="BK533" s="30">
        <v>1</v>
      </c>
    </row>
    <row x14ac:dyDescent="0.25" r="534" customHeight="1" ht="31.5">
      <c r="A534" s="319" t="s">
        <v>3729</v>
      </c>
      <c r="B534" s="320" t="s">
        <v>3729</v>
      </c>
      <c r="C534" s="320" t="s">
        <v>3729</v>
      </c>
      <c r="D534" s="31" t="s">
        <v>3944</v>
      </c>
      <c r="E534" s="5"/>
      <c r="F534" s="5" t="s">
        <v>577</v>
      </c>
      <c r="G534" s="5" t="s">
        <v>3876</v>
      </c>
      <c r="H534" s="5" t="s">
        <v>386</v>
      </c>
      <c r="I534" s="5" t="s">
        <v>386</v>
      </c>
      <c r="J534" s="5" t="s">
        <v>386</v>
      </c>
      <c r="K534" s="5" t="s">
        <v>386</v>
      </c>
      <c r="L534" s="5" t="s">
        <v>386</v>
      </c>
      <c r="M534" s="5" t="s">
        <v>231</v>
      </c>
      <c r="N534" s="5"/>
      <c r="O534" s="33"/>
      <c r="P534" s="5"/>
      <c r="Q534" s="5"/>
      <c r="R534" s="31" t="s">
        <v>242</v>
      </c>
      <c r="S534" s="31"/>
      <c r="T534" s="31"/>
      <c r="U534" s="31" t="s">
        <v>3945</v>
      </c>
      <c r="V534" s="5" t="s">
        <v>386</v>
      </c>
      <c r="W534" s="40">
        <v>1</v>
      </c>
      <c r="X534" s="31" t="s">
        <v>3879</v>
      </c>
      <c r="Y534" s="42"/>
      <c r="Z534" s="38"/>
      <c r="AA534" s="31" t="s">
        <v>3946</v>
      </c>
      <c r="AB534" s="5" t="s">
        <v>3947</v>
      </c>
      <c r="AC534" s="5" t="s">
        <v>38</v>
      </c>
      <c r="AD534" s="55" t="s">
        <v>596</v>
      </c>
      <c r="AE534" s="55" t="s">
        <v>3917</v>
      </c>
      <c r="AF534" s="5" t="s">
        <v>3947</v>
      </c>
      <c r="AG534" s="55"/>
      <c r="AH534" s="55"/>
      <c r="AI534" s="55"/>
      <c r="AJ534" s="55" t="s">
        <v>605</v>
      </c>
      <c r="AK534" s="55" t="s">
        <v>596</v>
      </c>
      <c r="AL534" s="62"/>
      <c r="AM534" s="5"/>
      <c r="AN534" s="5"/>
      <c r="AO534" s="5"/>
      <c r="AP534" s="5"/>
      <c r="AQ534" s="5"/>
      <c r="AR534" s="5"/>
      <c r="AS534" s="30"/>
      <c r="AT534" s="37"/>
      <c r="AU534" s="37"/>
      <c r="AV534" s="37"/>
      <c r="AW534" s="37"/>
      <c r="AX534" s="37"/>
      <c r="AY534" s="38" t="s">
        <v>780</v>
      </c>
      <c r="AZ534" s="38"/>
      <c r="BA534" s="38"/>
      <c r="BB534" s="46"/>
      <c r="BC534" s="37"/>
      <c r="BD534" s="37"/>
      <c r="BE534" s="5"/>
      <c r="BF534" s="5"/>
      <c r="BG534" s="31" t="s">
        <v>3945</v>
      </c>
      <c r="BH534" s="31"/>
      <c r="BI534" s="31" t="s">
        <v>3945</v>
      </c>
      <c r="BJ534" s="48"/>
      <c r="BK534" s="30">
        <v>1</v>
      </c>
    </row>
    <row x14ac:dyDescent="0.25" r="535" customHeight="1" ht="45.75">
      <c r="A535" s="319" t="s">
        <v>3729</v>
      </c>
      <c r="B535" s="320" t="s">
        <v>3729</v>
      </c>
      <c r="C535" s="320" t="s">
        <v>3729</v>
      </c>
      <c r="D535" s="31" t="s">
        <v>3948</v>
      </c>
      <c r="E535" s="5"/>
      <c r="F535" s="5" t="s">
        <v>577</v>
      </c>
      <c r="G535" s="5" t="s">
        <v>3949</v>
      </c>
      <c r="H535" s="5" t="s">
        <v>386</v>
      </c>
      <c r="I535" s="5" t="s">
        <v>386</v>
      </c>
      <c r="J535" s="5" t="s">
        <v>386</v>
      </c>
      <c r="K535" s="5" t="s">
        <v>386</v>
      </c>
      <c r="L535" s="5" t="s">
        <v>386</v>
      </c>
      <c r="M535" s="5" t="s">
        <v>820</v>
      </c>
      <c r="N535" s="5"/>
      <c r="O535" s="33"/>
      <c r="P535" s="5"/>
      <c r="Q535" s="5"/>
      <c r="R535" s="31" t="s">
        <v>242</v>
      </c>
      <c r="S535" s="31"/>
      <c r="T535" s="31"/>
      <c r="U535" s="31" t="s">
        <v>3950</v>
      </c>
      <c r="V535" s="5" t="s">
        <v>386</v>
      </c>
      <c r="W535" s="40">
        <v>1</v>
      </c>
      <c r="X535" s="41" t="s">
        <v>594</v>
      </c>
      <c r="Y535" s="42"/>
      <c r="Z535" s="38"/>
      <c r="AA535" s="31" t="s">
        <v>3951</v>
      </c>
      <c r="AB535" s="5" t="s">
        <v>3952</v>
      </c>
      <c r="AC535" s="5" t="s">
        <v>38</v>
      </c>
      <c r="AD535" s="55" t="s">
        <v>596</v>
      </c>
      <c r="AE535" s="171" t="s">
        <v>3953</v>
      </c>
      <c r="AF535" s="5" t="s">
        <v>3952</v>
      </c>
      <c r="AG535" s="62"/>
      <c r="AH535" s="62"/>
      <c r="AI535" s="62"/>
      <c r="AJ535" s="55" t="s">
        <v>605</v>
      </c>
      <c r="AK535" s="55" t="s">
        <v>596</v>
      </c>
      <c r="AL535" s="36" t="s">
        <v>1063</v>
      </c>
      <c r="AM535" s="5"/>
      <c r="AN535" s="5"/>
      <c r="AO535" s="5"/>
      <c r="AP535" s="5"/>
      <c r="AQ535" s="5"/>
      <c r="AR535" s="5"/>
      <c r="AS535" s="30"/>
      <c r="AT535" s="37"/>
      <c r="AU535" s="37"/>
      <c r="AV535" s="37"/>
      <c r="AW535" s="37"/>
      <c r="AX535" s="37"/>
      <c r="AY535" s="38" t="s">
        <v>780</v>
      </c>
      <c r="AZ535" s="38"/>
      <c r="BA535" s="38"/>
      <c r="BB535" s="46"/>
      <c r="BC535" s="37"/>
      <c r="BD535" s="37"/>
      <c r="BE535" s="5"/>
      <c r="BF535" s="5"/>
      <c r="BG535" s="31" t="s">
        <v>3954</v>
      </c>
      <c r="BH535" s="31"/>
      <c r="BI535" s="31" t="s">
        <v>3954</v>
      </c>
      <c r="BJ535" s="48"/>
      <c r="BK535" s="49">
        <v>1</v>
      </c>
    </row>
    <row x14ac:dyDescent="0.25" r="536" customHeight="1" ht="31.5">
      <c r="A536" s="319" t="s">
        <v>3729</v>
      </c>
      <c r="B536" s="320" t="s">
        <v>3729</v>
      </c>
      <c r="C536" s="52" t="s">
        <v>3729</v>
      </c>
      <c r="D536" s="52" t="s">
        <v>3955</v>
      </c>
      <c r="E536" s="5"/>
      <c r="F536" s="5" t="s">
        <v>577</v>
      </c>
      <c r="G536" s="5" t="s">
        <v>3949</v>
      </c>
      <c r="H536" s="5" t="s">
        <v>386</v>
      </c>
      <c r="I536" s="5" t="s">
        <v>386</v>
      </c>
      <c r="J536" s="5" t="s">
        <v>386</v>
      </c>
      <c r="K536" s="5" t="s">
        <v>386</v>
      </c>
      <c r="L536" s="5" t="s">
        <v>386</v>
      </c>
      <c r="M536" s="5" t="s">
        <v>820</v>
      </c>
      <c r="N536" s="5"/>
      <c r="O536" s="33"/>
      <c r="P536" s="5"/>
      <c r="Q536" s="5"/>
      <c r="R536" s="31" t="s">
        <v>242</v>
      </c>
      <c r="S536" s="31"/>
      <c r="T536" s="31"/>
      <c r="U536" s="31" t="s">
        <v>3956</v>
      </c>
      <c r="V536" s="5" t="s">
        <v>386</v>
      </c>
      <c r="W536" s="40">
        <v>1</v>
      </c>
      <c r="X536" s="41" t="s">
        <v>594</v>
      </c>
      <c r="Y536" s="42"/>
      <c r="Z536" s="38"/>
      <c r="AA536" s="31" t="s">
        <v>3957</v>
      </c>
      <c r="AB536" s="5" t="s">
        <v>3958</v>
      </c>
      <c r="AC536" s="5" t="s">
        <v>38</v>
      </c>
      <c r="AD536" s="55" t="s">
        <v>596</v>
      </c>
      <c r="AE536" s="171" t="s">
        <v>3953</v>
      </c>
      <c r="AF536" s="5" t="s">
        <v>3958</v>
      </c>
      <c r="AG536" s="62"/>
      <c r="AH536" s="62"/>
      <c r="AI536" s="62"/>
      <c r="AJ536" s="36" t="s">
        <v>605</v>
      </c>
      <c r="AK536" s="55" t="s">
        <v>596</v>
      </c>
      <c r="AL536" s="31" t="s">
        <v>1063</v>
      </c>
      <c r="AM536" s="5"/>
      <c r="AN536" s="5"/>
      <c r="AO536" s="5"/>
      <c r="AP536" s="5"/>
      <c r="AQ536" s="5"/>
      <c r="AR536" s="5"/>
      <c r="AS536" s="30"/>
      <c r="AT536" s="37"/>
      <c r="AU536" s="37"/>
      <c r="AV536" s="37"/>
      <c r="AW536" s="37"/>
      <c r="AX536" s="37"/>
      <c r="AY536" s="38" t="s">
        <v>780</v>
      </c>
      <c r="AZ536" s="38"/>
      <c r="BA536" s="38"/>
      <c r="BB536" s="46"/>
      <c r="BC536" s="37"/>
      <c r="BD536" s="37"/>
      <c r="BE536" s="5"/>
      <c r="BF536" s="5"/>
      <c r="BG536" s="31" t="s">
        <v>3956</v>
      </c>
      <c r="BH536" s="52" t="s">
        <v>3959</v>
      </c>
      <c r="BI536" s="31" t="s">
        <v>3956</v>
      </c>
      <c r="BJ536" s="48"/>
      <c r="BK536" s="30">
        <v>1</v>
      </c>
    </row>
    <row x14ac:dyDescent="0.25" r="537" customHeight="1" ht="31.5">
      <c r="A537" s="319" t="s">
        <v>3729</v>
      </c>
      <c r="B537" s="320" t="s">
        <v>3729</v>
      </c>
      <c r="C537" s="52" t="s">
        <v>3729</v>
      </c>
      <c r="D537" s="52" t="s">
        <v>3960</v>
      </c>
      <c r="E537" s="5"/>
      <c r="F537" s="57" t="s">
        <v>226</v>
      </c>
      <c r="G537" s="5" t="s">
        <v>3949</v>
      </c>
      <c r="H537" s="5" t="s">
        <v>386</v>
      </c>
      <c r="I537" s="5" t="s">
        <v>386</v>
      </c>
      <c r="J537" s="5" t="s">
        <v>386</v>
      </c>
      <c r="K537" s="5" t="s">
        <v>386</v>
      </c>
      <c r="L537" s="5" t="s">
        <v>386</v>
      </c>
      <c r="M537" s="5" t="s">
        <v>820</v>
      </c>
      <c r="N537" s="5"/>
      <c r="O537" s="33"/>
      <c r="P537" s="5"/>
      <c r="Q537" s="5"/>
      <c r="R537" s="31" t="s">
        <v>242</v>
      </c>
      <c r="S537" s="31"/>
      <c r="T537" s="31"/>
      <c r="U537" s="31" t="s">
        <v>3961</v>
      </c>
      <c r="V537" s="5" t="s">
        <v>386</v>
      </c>
      <c r="W537" s="40">
        <v>1</v>
      </c>
      <c r="X537" s="41" t="s">
        <v>594</v>
      </c>
      <c r="Y537" s="42"/>
      <c r="Z537" s="38"/>
      <c r="AA537" s="31" t="s">
        <v>3962</v>
      </c>
      <c r="AB537" s="5" t="s">
        <v>3963</v>
      </c>
      <c r="AC537" s="57" t="s">
        <v>52</v>
      </c>
      <c r="AD537" s="55" t="s">
        <v>596</v>
      </c>
      <c r="AE537" s="171" t="s">
        <v>3953</v>
      </c>
      <c r="AF537" s="5" t="s">
        <v>3963</v>
      </c>
      <c r="AG537" s="62"/>
      <c r="AH537" s="62"/>
      <c r="AI537" s="62"/>
      <c r="AJ537" s="31" t="s">
        <v>605</v>
      </c>
      <c r="AK537" s="55" t="s">
        <v>596</v>
      </c>
      <c r="AL537" s="31" t="s">
        <v>1063</v>
      </c>
      <c r="AM537" s="5"/>
      <c r="AN537" s="5"/>
      <c r="AO537" s="5"/>
      <c r="AP537" s="5"/>
      <c r="AQ537" s="5"/>
      <c r="AR537" s="5"/>
      <c r="AS537" s="30"/>
      <c r="AT537" s="37"/>
      <c r="AU537" s="37"/>
      <c r="AV537" s="37"/>
      <c r="AW537" s="37"/>
      <c r="AX537" s="37"/>
      <c r="AY537" s="38" t="s">
        <v>780</v>
      </c>
      <c r="AZ537" s="38"/>
      <c r="BA537" s="38"/>
      <c r="BB537" s="46"/>
      <c r="BC537" s="37"/>
      <c r="BD537" s="37"/>
      <c r="BE537" s="5"/>
      <c r="BF537" s="5"/>
      <c r="BG537" s="31" t="s">
        <v>3961</v>
      </c>
      <c r="BH537" s="52" t="s">
        <v>3964</v>
      </c>
      <c r="BI537" s="31" t="s">
        <v>3961</v>
      </c>
      <c r="BJ537" s="48"/>
      <c r="BK537" s="30">
        <v>1</v>
      </c>
    </row>
    <row x14ac:dyDescent="0.25" r="538" customHeight="1" ht="39">
      <c r="A538" s="319" t="s">
        <v>3729</v>
      </c>
      <c r="B538" s="320" t="s">
        <v>3729</v>
      </c>
      <c r="C538" s="320" t="s">
        <v>3729</v>
      </c>
      <c r="D538" s="31" t="s">
        <v>3965</v>
      </c>
      <c r="E538" s="5"/>
      <c r="F538" s="5" t="s">
        <v>577</v>
      </c>
      <c r="G538" s="5" t="s">
        <v>3949</v>
      </c>
      <c r="H538" s="5" t="s">
        <v>386</v>
      </c>
      <c r="I538" s="5" t="s">
        <v>386</v>
      </c>
      <c r="J538" s="5" t="s">
        <v>386</v>
      </c>
      <c r="K538" s="5" t="s">
        <v>386</v>
      </c>
      <c r="L538" s="5" t="s">
        <v>386</v>
      </c>
      <c r="M538" s="5" t="s">
        <v>231</v>
      </c>
      <c r="N538" s="5"/>
      <c r="O538" s="33"/>
      <c r="P538" s="5"/>
      <c r="Q538" s="5"/>
      <c r="R538" s="31" t="s">
        <v>242</v>
      </c>
      <c r="S538" s="31"/>
      <c r="T538" s="31"/>
      <c r="U538" s="31" t="s">
        <v>3966</v>
      </c>
      <c r="V538" s="5" t="s">
        <v>386</v>
      </c>
      <c r="W538" s="40">
        <v>1</v>
      </c>
      <c r="X538" s="41" t="s">
        <v>594</v>
      </c>
      <c r="Y538" s="42"/>
      <c r="Z538" s="38"/>
      <c r="AA538" s="31" t="s">
        <v>3967</v>
      </c>
      <c r="AB538" s="5" t="s">
        <v>3968</v>
      </c>
      <c r="AC538" s="5" t="s">
        <v>38</v>
      </c>
      <c r="AD538" s="62" t="s">
        <v>596</v>
      </c>
      <c r="AE538" s="171" t="s">
        <v>3969</v>
      </c>
      <c r="AF538" s="5" t="s">
        <v>3968</v>
      </c>
      <c r="AG538" s="62"/>
      <c r="AH538" s="62"/>
      <c r="AI538" s="62"/>
      <c r="AJ538" s="31" t="s">
        <v>605</v>
      </c>
      <c r="AK538" s="55" t="s">
        <v>596</v>
      </c>
      <c r="AL538" s="62"/>
      <c r="AM538" s="5"/>
      <c r="AN538" s="5"/>
      <c r="AO538" s="5"/>
      <c r="AP538" s="5"/>
      <c r="AQ538" s="5"/>
      <c r="AR538" s="5"/>
      <c r="AS538" s="30"/>
      <c r="AT538" s="37"/>
      <c r="AU538" s="37"/>
      <c r="AV538" s="37"/>
      <c r="AW538" s="37"/>
      <c r="AX538" s="37"/>
      <c r="AY538" s="38" t="s">
        <v>780</v>
      </c>
      <c r="AZ538" s="38"/>
      <c r="BA538" s="38"/>
      <c r="BB538" s="46"/>
      <c r="BC538" s="37"/>
      <c r="BD538" s="37"/>
      <c r="BE538" s="5"/>
      <c r="BF538" s="5"/>
      <c r="BG538" s="31" t="s">
        <v>3966</v>
      </c>
      <c r="BH538" s="31"/>
      <c r="BI538" s="31" t="s">
        <v>3966</v>
      </c>
      <c r="BJ538" s="48"/>
      <c r="BK538" s="49">
        <v>1</v>
      </c>
    </row>
    <row x14ac:dyDescent="0.25" r="539" customHeight="1" ht="46.5">
      <c r="A539" s="319" t="s">
        <v>3729</v>
      </c>
      <c r="B539" s="320" t="s">
        <v>3729</v>
      </c>
      <c r="C539" s="320" t="s">
        <v>3729</v>
      </c>
      <c r="D539" s="31" t="s">
        <v>3970</v>
      </c>
      <c r="E539" s="5"/>
      <c r="F539" s="5" t="s">
        <v>577</v>
      </c>
      <c r="G539" s="5" t="s">
        <v>3949</v>
      </c>
      <c r="H539" s="5" t="s">
        <v>386</v>
      </c>
      <c r="I539" s="5" t="s">
        <v>386</v>
      </c>
      <c r="J539" s="5" t="s">
        <v>386</v>
      </c>
      <c r="K539" s="5" t="s">
        <v>386</v>
      </c>
      <c r="L539" s="5" t="s">
        <v>386</v>
      </c>
      <c r="M539" s="5" t="s">
        <v>231</v>
      </c>
      <c r="N539" s="5"/>
      <c r="O539" s="33"/>
      <c r="P539" s="5"/>
      <c r="Q539" s="5"/>
      <c r="R539" s="31" t="s">
        <v>242</v>
      </c>
      <c r="S539" s="31"/>
      <c r="T539" s="31"/>
      <c r="U539" s="31" t="s">
        <v>3971</v>
      </c>
      <c r="V539" s="5" t="s">
        <v>386</v>
      </c>
      <c r="W539" s="40">
        <v>1</v>
      </c>
      <c r="X539" s="41" t="s">
        <v>594</v>
      </c>
      <c r="Y539" s="42"/>
      <c r="Z539" s="38"/>
      <c r="AA539" s="31" t="s">
        <v>3972</v>
      </c>
      <c r="AB539" s="5" t="s">
        <v>3973</v>
      </c>
      <c r="AC539" s="5" t="s">
        <v>38</v>
      </c>
      <c r="AD539" s="62" t="s">
        <v>596</v>
      </c>
      <c r="AE539" s="171" t="s">
        <v>3969</v>
      </c>
      <c r="AF539" s="5" t="s">
        <v>3973</v>
      </c>
      <c r="AG539" s="62"/>
      <c r="AH539" s="62"/>
      <c r="AI539" s="62"/>
      <c r="AJ539" s="36" t="s">
        <v>605</v>
      </c>
      <c r="AK539" s="55" t="s">
        <v>596</v>
      </c>
      <c r="AL539" s="62"/>
      <c r="AM539" s="5"/>
      <c r="AN539" s="5"/>
      <c r="AO539" s="5"/>
      <c r="AP539" s="5"/>
      <c r="AQ539" s="5"/>
      <c r="AR539" s="5"/>
      <c r="AS539" s="30"/>
      <c r="AT539" s="37"/>
      <c r="AU539" s="37"/>
      <c r="AV539" s="37"/>
      <c r="AW539" s="37"/>
      <c r="AX539" s="37"/>
      <c r="AY539" s="38" t="s">
        <v>780</v>
      </c>
      <c r="AZ539" s="38"/>
      <c r="BA539" s="38"/>
      <c r="BB539" s="46"/>
      <c r="BC539" s="37"/>
      <c r="BD539" s="37"/>
      <c r="BE539" s="5"/>
      <c r="BF539" s="5"/>
      <c r="BG539" s="31" t="s">
        <v>3971</v>
      </c>
      <c r="BH539" s="31"/>
      <c r="BI539" s="31" t="s">
        <v>3971</v>
      </c>
      <c r="BJ539" s="48"/>
      <c r="BK539" s="30">
        <v>1</v>
      </c>
    </row>
    <row x14ac:dyDescent="0.25" r="540" customHeight="1" ht="45.75">
      <c r="A540" s="319" t="s">
        <v>3729</v>
      </c>
      <c r="B540" s="320" t="s">
        <v>3729</v>
      </c>
      <c r="C540" s="320" t="s">
        <v>3729</v>
      </c>
      <c r="D540" s="31" t="s">
        <v>3974</v>
      </c>
      <c r="E540" s="5"/>
      <c r="F540" s="57" t="s">
        <v>226</v>
      </c>
      <c r="G540" s="5" t="s">
        <v>3949</v>
      </c>
      <c r="H540" s="5" t="s">
        <v>386</v>
      </c>
      <c r="I540" s="5" t="s">
        <v>386</v>
      </c>
      <c r="J540" s="5" t="s">
        <v>386</v>
      </c>
      <c r="K540" s="5" t="s">
        <v>386</v>
      </c>
      <c r="L540" s="5" t="s">
        <v>386</v>
      </c>
      <c r="M540" s="5" t="s">
        <v>231</v>
      </c>
      <c r="N540" s="5"/>
      <c r="O540" s="33"/>
      <c r="P540" s="5"/>
      <c r="Q540" s="5"/>
      <c r="R540" s="31" t="s">
        <v>242</v>
      </c>
      <c r="S540" s="31"/>
      <c r="T540" s="31"/>
      <c r="U540" s="31" t="s">
        <v>3975</v>
      </c>
      <c r="V540" s="5" t="s">
        <v>386</v>
      </c>
      <c r="W540" s="40">
        <v>1</v>
      </c>
      <c r="X540" s="41" t="s">
        <v>594</v>
      </c>
      <c r="Y540" s="42"/>
      <c r="Z540" s="38"/>
      <c r="AA540" s="31" t="s">
        <v>3976</v>
      </c>
      <c r="AB540" s="5" t="s">
        <v>3977</v>
      </c>
      <c r="AC540" s="57" t="s">
        <v>52</v>
      </c>
      <c r="AD540" s="62" t="s">
        <v>596</v>
      </c>
      <c r="AE540" s="171" t="s">
        <v>3969</v>
      </c>
      <c r="AF540" s="5" t="s">
        <v>3977</v>
      </c>
      <c r="AG540" s="62"/>
      <c r="AH540" s="62"/>
      <c r="AI540" s="62"/>
      <c r="AJ540" s="36" t="s">
        <v>605</v>
      </c>
      <c r="AK540" s="55" t="s">
        <v>596</v>
      </c>
      <c r="AL540" s="62"/>
      <c r="AM540" s="5"/>
      <c r="AN540" s="5"/>
      <c r="AO540" s="5"/>
      <c r="AP540" s="5"/>
      <c r="AQ540" s="5"/>
      <c r="AR540" s="5"/>
      <c r="AS540" s="30"/>
      <c r="AT540" s="37"/>
      <c r="AU540" s="37"/>
      <c r="AV540" s="37"/>
      <c r="AW540" s="37"/>
      <c r="AX540" s="37"/>
      <c r="AY540" s="38" t="s">
        <v>780</v>
      </c>
      <c r="AZ540" s="38"/>
      <c r="BA540" s="38"/>
      <c r="BB540" s="46"/>
      <c r="BC540" s="37"/>
      <c r="BD540" s="37"/>
      <c r="BE540" s="5"/>
      <c r="BF540" s="5"/>
      <c r="BG540" s="31" t="s">
        <v>3975</v>
      </c>
      <c r="BH540" s="31"/>
      <c r="BI540" s="31" t="s">
        <v>3975</v>
      </c>
      <c r="BJ540" s="48"/>
      <c r="BK540" s="49">
        <v>1</v>
      </c>
    </row>
    <row x14ac:dyDescent="0.25" r="541" customHeight="1" ht="31.5">
      <c r="A541" s="319" t="s">
        <v>3729</v>
      </c>
      <c r="B541" s="320" t="s">
        <v>3729</v>
      </c>
      <c r="C541" s="320" t="s">
        <v>3729</v>
      </c>
      <c r="D541" s="31" t="s">
        <v>3978</v>
      </c>
      <c r="E541" s="62"/>
      <c r="F541" s="62" t="s">
        <v>3979</v>
      </c>
      <c r="G541" s="5" t="s">
        <v>3980</v>
      </c>
      <c r="H541" s="5"/>
      <c r="I541" s="5"/>
      <c r="J541" s="5"/>
      <c r="K541" s="5"/>
      <c r="L541" s="5"/>
      <c r="M541" s="5" t="s">
        <v>231</v>
      </c>
      <c r="N541" s="5"/>
      <c r="O541" s="33"/>
      <c r="P541" s="5"/>
      <c r="Q541" s="5"/>
      <c r="R541" s="31" t="s">
        <v>242</v>
      </c>
      <c r="S541" s="31"/>
      <c r="T541" s="31"/>
      <c r="U541" s="31"/>
      <c r="V541" s="5"/>
      <c r="W541" s="134"/>
      <c r="X541" s="41"/>
      <c r="Y541" s="42"/>
      <c r="Z541" s="38"/>
      <c r="AA541" s="31" t="s">
        <v>3978</v>
      </c>
      <c r="AB541" s="5" t="s">
        <v>3981</v>
      </c>
      <c r="AC541" s="5" t="s">
        <v>38</v>
      </c>
      <c r="AD541" s="62"/>
      <c r="AE541" s="304"/>
      <c r="AF541" s="62"/>
      <c r="AG541" s="62"/>
      <c r="AH541" s="62"/>
      <c r="AI541" s="62"/>
      <c r="AJ541" s="323"/>
      <c r="AK541" s="5"/>
      <c r="AL541" s="5"/>
      <c r="AM541" s="5"/>
      <c r="AN541" s="5"/>
      <c r="AO541" s="5"/>
      <c r="AP541" s="5"/>
      <c r="AQ541" s="5"/>
      <c r="AR541" s="5"/>
      <c r="AS541" s="30"/>
      <c r="AT541" s="37"/>
      <c r="AU541" s="37"/>
      <c r="AV541" s="37"/>
      <c r="AW541" s="37"/>
      <c r="AX541" s="37"/>
      <c r="AY541" s="38"/>
      <c r="AZ541" s="38"/>
      <c r="BA541" s="38"/>
      <c r="BB541" s="46"/>
      <c r="BC541" s="37"/>
      <c r="BD541" s="37"/>
      <c r="BE541" s="5"/>
      <c r="BF541" s="5"/>
      <c r="BG541" s="31"/>
      <c r="BH541" s="31"/>
      <c r="BI541" s="31"/>
      <c r="BJ541" s="48"/>
      <c r="BK541" s="49"/>
    </row>
    <row x14ac:dyDescent="0.25" r="542" customHeight="1" ht="31.5">
      <c r="A542" s="153" t="s">
        <v>3982</v>
      </c>
      <c r="B542" s="52" t="s">
        <v>3982</v>
      </c>
      <c r="C542" s="52" t="s">
        <v>3982</v>
      </c>
      <c r="D542" s="52" t="s">
        <v>3983</v>
      </c>
      <c r="E542" s="92"/>
      <c r="F542" s="92" t="s">
        <v>3979</v>
      </c>
      <c r="G542" s="92" t="s">
        <v>3980</v>
      </c>
      <c r="H542" s="92" t="s">
        <v>386</v>
      </c>
      <c r="I542" s="92" t="s">
        <v>386</v>
      </c>
      <c r="J542" s="92" t="s">
        <v>386</v>
      </c>
      <c r="K542" s="92" t="s">
        <v>780</v>
      </c>
      <c r="L542" s="92" t="s">
        <v>1749</v>
      </c>
      <c r="M542" s="92" t="s">
        <v>231</v>
      </c>
      <c r="N542" s="92"/>
      <c r="O542" s="93"/>
      <c r="P542" s="92"/>
      <c r="Q542" s="92"/>
      <c r="R542" s="52" t="s">
        <v>242</v>
      </c>
      <c r="S542" s="52"/>
      <c r="T542" s="52"/>
      <c r="U542" s="52" t="s">
        <v>780</v>
      </c>
      <c r="V542" s="92"/>
      <c r="W542" s="245">
        <v>1</v>
      </c>
      <c r="X542" s="52"/>
      <c r="Y542" s="92"/>
      <c r="Z542" s="94"/>
      <c r="AA542" s="52" t="s">
        <v>3984</v>
      </c>
      <c r="AB542" s="92" t="s">
        <v>3985</v>
      </c>
      <c r="AC542" s="92" t="s">
        <v>38</v>
      </c>
      <c r="AD542" s="92"/>
      <c r="AE542" s="324"/>
      <c r="AF542" s="92"/>
      <c r="AG542" s="92"/>
      <c r="AH542" s="92"/>
      <c r="AI542" s="92"/>
      <c r="AJ542" s="325" t="s">
        <v>3986</v>
      </c>
      <c r="AK542" s="92" t="s">
        <v>259</v>
      </c>
      <c r="AL542" s="92"/>
      <c r="AM542" s="92"/>
      <c r="AN542" s="92"/>
      <c r="AO542" s="92"/>
      <c r="AP542" s="92"/>
      <c r="AQ542" s="92"/>
      <c r="AR542" s="92"/>
      <c r="AS542" s="90"/>
      <c r="AT542" s="97"/>
      <c r="AU542" s="97"/>
      <c r="AV542" s="97"/>
      <c r="AW542" s="97"/>
      <c r="AX542" s="97"/>
      <c r="AY542" s="94"/>
      <c r="AZ542" s="94"/>
      <c r="BA542" s="94"/>
      <c r="BB542" s="91"/>
      <c r="BC542" s="97"/>
      <c r="BD542" s="97" t="s">
        <v>780</v>
      </c>
      <c r="BE542" s="92"/>
      <c r="BF542" s="92"/>
      <c r="BG542" s="52"/>
      <c r="BH542" s="52"/>
      <c r="BI542" s="52"/>
      <c r="BJ542" s="52"/>
      <c r="BK542" s="90"/>
    </row>
    <row x14ac:dyDescent="0.25" r="543" customHeight="1" ht="18">
      <c r="A543" s="153" t="s">
        <v>3982</v>
      </c>
      <c r="B543" s="52" t="s">
        <v>3982</v>
      </c>
      <c r="C543" s="52" t="s">
        <v>3982</v>
      </c>
      <c r="D543" s="52" t="s">
        <v>3987</v>
      </c>
      <c r="E543" s="154"/>
      <c r="F543" s="92" t="s">
        <v>3979</v>
      </c>
      <c r="G543" s="92" t="s">
        <v>3980</v>
      </c>
      <c r="H543" s="92" t="s">
        <v>386</v>
      </c>
      <c r="I543" s="92" t="s">
        <v>386</v>
      </c>
      <c r="J543" s="92" t="s">
        <v>386</v>
      </c>
      <c r="K543" s="92" t="s">
        <v>780</v>
      </c>
      <c r="L543" s="92" t="s">
        <v>1756</v>
      </c>
      <c r="M543" s="92" t="s">
        <v>231</v>
      </c>
      <c r="N543" s="154"/>
      <c r="O543" s="154"/>
      <c r="P543" s="154"/>
      <c r="Q543" s="154"/>
      <c r="R543" s="52" t="s">
        <v>242</v>
      </c>
      <c r="S543" s="154"/>
      <c r="T543" s="154"/>
      <c r="U543" s="52" t="s">
        <v>780</v>
      </c>
      <c r="V543" s="154"/>
      <c r="W543" s="326">
        <v>1</v>
      </c>
      <c r="X543" s="154"/>
      <c r="Y543" s="154"/>
      <c r="Z543" s="327"/>
      <c r="AA543" s="52" t="s">
        <v>3988</v>
      </c>
      <c r="AB543" s="92" t="s">
        <v>3989</v>
      </c>
      <c r="AC543" s="154" t="s">
        <v>38</v>
      </c>
      <c r="AD543" s="154"/>
      <c r="AE543" s="154"/>
      <c r="AF543" s="154"/>
      <c r="AG543" s="154"/>
      <c r="AH543" s="154"/>
      <c r="AI543" s="154"/>
      <c r="AJ543" s="325" t="s">
        <v>3986</v>
      </c>
      <c r="AK543" s="328" t="s">
        <v>259</v>
      </c>
      <c r="AL543" s="154"/>
      <c r="AM543" s="154"/>
      <c r="AN543" s="154"/>
      <c r="AO543" s="154"/>
      <c r="AP543" s="154"/>
      <c r="AQ543" s="154"/>
      <c r="AR543" s="154"/>
      <c r="AS543" s="327"/>
      <c r="AT543" s="327"/>
      <c r="AU543" s="327"/>
      <c r="AV543" s="327"/>
      <c r="AW543" s="327"/>
      <c r="AX543" s="327"/>
      <c r="AY543" s="327"/>
      <c r="AZ543" s="327"/>
      <c r="BA543" s="327"/>
      <c r="BB543" s="154"/>
      <c r="BC543" s="327"/>
      <c r="BD543" s="97" t="s">
        <v>780</v>
      </c>
      <c r="BE543" s="154"/>
      <c r="BF543" s="154"/>
      <c r="BG543" s="154"/>
      <c r="BH543" s="154"/>
      <c r="BI543" s="154"/>
      <c r="BJ543" s="154"/>
      <c r="BK543" s="329"/>
    </row>
    <row x14ac:dyDescent="0.25" r="544" customHeight="1" ht="31.5">
      <c r="A544" s="153" t="s">
        <v>3982</v>
      </c>
      <c r="B544" s="52" t="s">
        <v>3982</v>
      </c>
      <c r="C544" s="52" t="s">
        <v>3982</v>
      </c>
      <c r="D544" s="52" t="s">
        <v>3990</v>
      </c>
      <c r="E544" s="92"/>
      <c r="F544" s="92" t="s">
        <v>3979</v>
      </c>
      <c r="G544" s="92" t="s">
        <v>3980</v>
      </c>
      <c r="H544" s="92" t="s">
        <v>386</v>
      </c>
      <c r="I544" s="92" t="s">
        <v>386</v>
      </c>
      <c r="J544" s="92" t="s">
        <v>386</v>
      </c>
      <c r="K544" s="92" t="s">
        <v>780</v>
      </c>
      <c r="L544" s="92" t="s">
        <v>3991</v>
      </c>
      <c r="M544" s="92" t="s">
        <v>231</v>
      </c>
      <c r="N544" s="92"/>
      <c r="O544" s="93"/>
      <c r="P544" s="92"/>
      <c r="Q544" s="92"/>
      <c r="R544" s="52" t="s">
        <v>242</v>
      </c>
      <c r="S544" s="52"/>
      <c r="T544" s="52"/>
      <c r="U544" s="52" t="s">
        <v>780</v>
      </c>
      <c r="V544" s="92"/>
      <c r="W544" s="245">
        <v>1</v>
      </c>
      <c r="X544" s="52"/>
      <c r="Y544" s="92"/>
      <c r="Z544" s="94"/>
      <c r="AA544" s="52" t="s">
        <v>3992</v>
      </c>
      <c r="AB544" s="92" t="s">
        <v>3993</v>
      </c>
      <c r="AC544" s="92" t="s">
        <v>38</v>
      </c>
      <c r="AD544" s="92"/>
      <c r="AE544" s="324"/>
      <c r="AF544" s="92"/>
      <c r="AG544" s="92"/>
      <c r="AH544" s="92"/>
      <c r="AI544" s="92"/>
      <c r="AJ544" s="325" t="s">
        <v>3986</v>
      </c>
      <c r="AK544" s="328" t="s">
        <v>259</v>
      </c>
      <c r="AL544" s="92"/>
      <c r="AM544" s="92"/>
      <c r="AN544" s="92"/>
      <c r="AO544" s="92"/>
      <c r="AP544" s="92"/>
      <c r="AQ544" s="92"/>
      <c r="AR544" s="92"/>
      <c r="AS544" s="90"/>
      <c r="AT544" s="97"/>
      <c r="AU544" s="97"/>
      <c r="AV544" s="97"/>
      <c r="AW544" s="97"/>
      <c r="AX544" s="97"/>
      <c r="AY544" s="94"/>
      <c r="AZ544" s="94"/>
      <c r="BA544" s="94"/>
      <c r="BB544" s="91"/>
      <c r="BC544" s="97"/>
      <c r="BD544" s="97" t="s">
        <v>780</v>
      </c>
      <c r="BE544" s="92"/>
      <c r="BF544" s="92"/>
      <c r="BG544" s="52"/>
      <c r="BH544" s="52"/>
      <c r="BI544" s="52"/>
      <c r="BJ544" s="52"/>
      <c r="BK544" s="90"/>
    </row>
    <row x14ac:dyDescent="0.25" r="545" customHeight="1" ht="31.5">
      <c r="A545" s="153" t="s">
        <v>3982</v>
      </c>
      <c r="B545" s="52" t="s">
        <v>3982</v>
      </c>
      <c r="C545" s="52" t="s">
        <v>3982</v>
      </c>
      <c r="D545" s="52" t="s">
        <v>3994</v>
      </c>
      <c r="E545" s="92"/>
      <c r="F545" s="92" t="s">
        <v>3979</v>
      </c>
      <c r="G545" s="92" t="s">
        <v>3980</v>
      </c>
      <c r="H545" s="92" t="s">
        <v>386</v>
      </c>
      <c r="I545" s="92" t="s">
        <v>386</v>
      </c>
      <c r="J545" s="92" t="s">
        <v>386</v>
      </c>
      <c r="K545" s="92" t="s">
        <v>780</v>
      </c>
      <c r="L545" s="92" t="s">
        <v>3995</v>
      </c>
      <c r="M545" s="92" t="s">
        <v>231</v>
      </c>
      <c r="N545" s="92"/>
      <c r="O545" s="93"/>
      <c r="P545" s="92"/>
      <c r="Q545" s="92"/>
      <c r="R545" s="52" t="s">
        <v>242</v>
      </c>
      <c r="S545" s="52"/>
      <c r="T545" s="52"/>
      <c r="U545" s="52" t="s">
        <v>780</v>
      </c>
      <c r="V545" s="92"/>
      <c r="W545" s="245">
        <v>1</v>
      </c>
      <c r="X545" s="52"/>
      <c r="Y545" s="92"/>
      <c r="Z545" s="94"/>
      <c r="AA545" s="52" t="s">
        <v>3996</v>
      </c>
      <c r="AB545" s="92" t="s">
        <v>3997</v>
      </c>
      <c r="AC545" s="92" t="s">
        <v>38</v>
      </c>
      <c r="AD545" s="92"/>
      <c r="AE545" s="324"/>
      <c r="AF545" s="92"/>
      <c r="AG545" s="92"/>
      <c r="AH545" s="92"/>
      <c r="AI545" s="92"/>
      <c r="AJ545" s="325" t="s">
        <v>3986</v>
      </c>
      <c r="AK545" s="328" t="s">
        <v>259</v>
      </c>
      <c r="AL545" s="92"/>
      <c r="AM545" s="92"/>
      <c r="AN545" s="92"/>
      <c r="AO545" s="92"/>
      <c r="AP545" s="92"/>
      <c r="AQ545" s="92"/>
      <c r="AR545" s="92"/>
      <c r="AS545" s="90"/>
      <c r="AT545" s="97"/>
      <c r="AU545" s="97"/>
      <c r="AV545" s="97"/>
      <c r="AW545" s="97"/>
      <c r="AX545" s="97"/>
      <c r="AY545" s="94"/>
      <c r="AZ545" s="94"/>
      <c r="BA545" s="94"/>
      <c r="BB545" s="91"/>
      <c r="BC545" s="97"/>
      <c r="BD545" s="97" t="s">
        <v>780</v>
      </c>
      <c r="BE545" s="92"/>
      <c r="BF545" s="92"/>
      <c r="BG545" s="52"/>
      <c r="BH545" s="52"/>
      <c r="BI545" s="52"/>
      <c r="BJ545" s="52"/>
      <c r="BK545" s="90"/>
    </row>
    <row x14ac:dyDescent="0.25" r="546" customHeight="1" ht="31.5">
      <c r="A546" s="153" t="s">
        <v>3982</v>
      </c>
      <c r="B546" s="52" t="s">
        <v>3982</v>
      </c>
      <c r="C546" s="52" t="s">
        <v>3982</v>
      </c>
      <c r="D546" s="52" t="s">
        <v>3998</v>
      </c>
      <c r="E546" s="92"/>
      <c r="F546" s="92" t="s">
        <v>3979</v>
      </c>
      <c r="G546" s="92" t="s">
        <v>3980</v>
      </c>
      <c r="H546" s="92" t="s">
        <v>386</v>
      </c>
      <c r="I546" s="92" t="s">
        <v>386</v>
      </c>
      <c r="J546" s="92" t="s">
        <v>386</v>
      </c>
      <c r="K546" s="92" t="s">
        <v>780</v>
      </c>
      <c r="L546" s="92" t="s">
        <v>3999</v>
      </c>
      <c r="M546" s="92" t="s">
        <v>231</v>
      </c>
      <c r="N546" s="92"/>
      <c r="O546" s="93"/>
      <c r="P546" s="92"/>
      <c r="Q546" s="92"/>
      <c r="R546" s="52" t="s">
        <v>242</v>
      </c>
      <c r="S546" s="52"/>
      <c r="T546" s="52"/>
      <c r="U546" s="52" t="s">
        <v>780</v>
      </c>
      <c r="V546" s="92"/>
      <c r="W546" s="245">
        <v>1</v>
      </c>
      <c r="X546" s="52"/>
      <c r="Y546" s="92"/>
      <c r="Z546" s="94"/>
      <c r="AA546" s="52" t="s">
        <v>4000</v>
      </c>
      <c r="AB546" s="92" t="s">
        <v>4001</v>
      </c>
      <c r="AC546" s="92" t="s">
        <v>38</v>
      </c>
      <c r="AD546" s="92"/>
      <c r="AE546" s="324"/>
      <c r="AF546" s="92"/>
      <c r="AG546" s="92"/>
      <c r="AH546" s="92"/>
      <c r="AI546" s="92"/>
      <c r="AJ546" s="325" t="s">
        <v>3986</v>
      </c>
      <c r="AK546" s="328" t="s">
        <v>259</v>
      </c>
      <c r="AL546" s="92"/>
      <c r="AM546" s="92"/>
      <c r="AN546" s="92"/>
      <c r="AO546" s="92"/>
      <c r="AP546" s="92"/>
      <c r="AQ546" s="92"/>
      <c r="AR546" s="92"/>
      <c r="AS546" s="90"/>
      <c r="AT546" s="97"/>
      <c r="AU546" s="97"/>
      <c r="AV546" s="97"/>
      <c r="AW546" s="97"/>
      <c r="AX546" s="97"/>
      <c r="AY546" s="94"/>
      <c r="AZ546" s="94"/>
      <c r="BA546" s="94"/>
      <c r="BB546" s="91"/>
      <c r="BC546" s="97"/>
      <c r="BD546" s="97" t="s">
        <v>780</v>
      </c>
      <c r="BE546" s="92"/>
      <c r="BF546" s="92"/>
      <c r="BG546" s="52"/>
      <c r="BH546" s="52"/>
      <c r="BI546" s="52"/>
      <c r="BJ546" s="52"/>
      <c r="BK546" s="90"/>
    </row>
    <row x14ac:dyDescent="0.25" r="547" customHeight="1" ht="31.5">
      <c r="A547" s="153" t="s">
        <v>3982</v>
      </c>
      <c r="B547" s="52" t="s">
        <v>3982</v>
      </c>
      <c r="C547" s="52" t="s">
        <v>3982</v>
      </c>
      <c r="D547" s="52" t="s">
        <v>4002</v>
      </c>
      <c r="E547" s="92"/>
      <c r="F547" s="92" t="s">
        <v>3979</v>
      </c>
      <c r="G547" s="92" t="s">
        <v>3980</v>
      </c>
      <c r="H547" s="92" t="s">
        <v>386</v>
      </c>
      <c r="I547" s="92" t="s">
        <v>386</v>
      </c>
      <c r="J547" s="92" t="s">
        <v>386</v>
      </c>
      <c r="K547" s="92" t="s">
        <v>780</v>
      </c>
      <c r="L547" s="92" t="s">
        <v>4003</v>
      </c>
      <c r="M547" s="92" t="s">
        <v>231</v>
      </c>
      <c r="N547" s="92"/>
      <c r="O547" s="93"/>
      <c r="P547" s="92"/>
      <c r="Q547" s="92"/>
      <c r="R547" s="52" t="s">
        <v>242</v>
      </c>
      <c r="S547" s="52"/>
      <c r="T547" s="52"/>
      <c r="U547" s="52" t="s">
        <v>780</v>
      </c>
      <c r="V547" s="92"/>
      <c r="W547" s="245">
        <v>1</v>
      </c>
      <c r="X547" s="52"/>
      <c r="Y547" s="92"/>
      <c r="Z547" s="94"/>
      <c r="AA547" s="52" t="s">
        <v>4004</v>
      </c>
      <c r="AB547" s="92" t="s">
        <v>4005</v>
      </c>
      <c r="AC547" s="92" t="s">
        <v>38</v>
      </c>
      <c r="AD547" s="92"/>
      <c r="AE547" s="324"/>
      <c r="AF547" s="92"/>
      <c r="AG547" s="92"/>
      <c r="AH547" s="92"/>
      <c r="AI547" s="92"/>
      <c r="AJ547" s="325" t="s">
        <v>3986</v>
      </c>
      <c r="AK547" s="328" t="s">
        <v>259</v>
      </c>
      <c r="AL547" s="92"/>
      <c r="AM547" s="92"/>
      <c r="AN547" s="92"/>
      <c r="AO547" s="92"/>
      <c r="AP547" s="92"/>
      <c r="AQ547" s="92"/>
      <c r="AR547" s="92"/>
      <c r="AS547" s="90"/>
      <c r="AT547" s="97"/>
      <c r="AU547" s="97"/>
      <c r="AV547" s="97"/>
      <c r="AW547" s="97"/>
      <c r="AX547" s="97"/>
      <c r="AY547" s="94"/>
      <c r="AZ547" s="94"/>
      <c r="BA547" s="94"/>
      <c r="BB547" s="91"/>
      <c r="BC547" s="97"/>
      <c r="BD547" s="97" t="s">
        <v>780</v>
      </c>
      <c r="BE547" s="92"/>
      <c r="BF547" s="92"/>
      <c r="BG547" s="52"/>
      <c r="BH547" s="52"/>
      <c r="BI547" s="52"/>
      <c r="BJ547" s="52"/>
      <c r="BK547" s="90"/>
    </row>
    <row x14ac:dyDescent="0.25" r="548" customHeight="1" ht="31.5">
      <c r="A548" s="153" t="s">
        <v>3982</v>
      </c>
      <c r="B548" s="52" t="s">
        <v>3982</v>
      </c>
      <c r="C548" s="52" t="s">
        <v>3982</v>
      </c>
      <c r="D548" s="52" t="s">
        <v>4006</v>
      </c>
      <c r="E548" s="92"/>
      <c r="F548" s="92" t="s">
        <v>3979</v>
      </c>
      <c r="G548" s="92" t="s">
        <v>3980</v>
      </c>
      <c r="H548" s="92" t="s">
        <v>386</v>
      </c>
      <c r="I548" s="92" t="s">
        <v>386</v>
      </c>
      <c r="J548" s="92" t="s">
        <v>386</v>
      </c>
      <c r="K548" s="92" t="s">
        <v>780</v>
      </c>
      <c r="L548" s="92" t="s">
        <v>3451</v>
      </c>
      <c r="M548" s="92" t="s">
        <v>231</v>
      </c>
      <c r="N548" s="92"/>
      <c r="O548" s="93"/>
      <c r="P548" s="92"/>
      <c r="Q548" s="92"/>
      <c r="R548" s="52" t="s">
        <v>242</v>
      </c>
      <c r="S548" s="52"/>
      <c r="T548" s="52"/>
      <c r="U548" s="52" t="s">
        <v>780</v>
      </c>
      <c r="V548" s="92"/>
      <c r="W548" s="245">
        <v>1</v>
      </c>
      <c r="X548" s="52"/>
      <c r="Y548" s="92"/>
      <c r="Z548" s="94"/>
      <c r="AA548" s="52" t="s">
        <v>4007</v>
      </c>
      <c r="AB548" s="92" t="s">
        <v>4008</v>
      </c>
      <c r="AC548" s="92" t="s">
        <v>38</v>
      </c>
      <c r="AD548" s="92"/>
      <c r="AE548" s="324"/>
      <c r="AF548" s="92"/>
      <c r="AG548" s="92"/>
      <c r="AH548" s="92"/>
      <c r="AI548" s="92"/>
      <c r="AJ548" s="92"/>
      <c r="AK548" s="92"/>
      <c r="AL548" s="92"/>
      <c r="AM548" s="92"/>
      <c r="AN548" s="92"/>
      <c r="AO548" s="92"/>
      <c r="AP548" s="92"/>
      <c r="AQ548" s="92"/>
      <c r="AR548" s="92"/>
      <c r="AS548" s="90"/>
      <c r="AT548" s="97"/>
      <c r="AU548" s="97"/>
      <c r="AV548" s="97"/>
      <c r="AW548" s="97"/>
      <c r="AX548" s="97"/>
      <c r="AY548" s="94"/>
      <c r="AZ548" s="94"/>
      <c r="BA548" s="94"/>
      <c r="BB548" s="91"/>
      <c r="BC548" s="97"/>
      <c r="BD548" s="97" t="s">
        <v>780</v>
      </c>
      <c r="BE548" s="92"/>
      <c r="BF548" s="92"/>
      <c r="BG548" s="52"/>
      <c r="BH548" s="52"/>
      <c r="BI548" s="52"/>
      <c r="BJ548" s="52"/>
      <c r="BK548" s="90"/>
    </row>
    <row x14ac:dyDescent="0.25" r="549" customHeight="1" ht="31.5">
      <c r="A549" s="153" t="s">
        <v>3982</v>
      </c>
      <c r="B549" s="52" t="s">
        <v>3982</v>
      </c>
      <c r="C549" s="52" t="s">
        <v>3982</v>
      </c>
      <c r="D549" s="52" t="s">
        <v>4009</v>
      </c>
      <c r="E549" s="92"/>
      <c r="F549" s="92" t="s">
        <v>3979</v>
      </c>
      <c r="G549" s="92" t="s">
        <v>3980</v>
      </c>
      <c r="H549" s="92" t="s">
        <v>386</v>
      </c>
      <c r="I549" s="92" t="s">
        <v>386</v>
      </c>
      <c r="J549" s="92" t="s">
        <v>386</v>
      </c>
      <c r="K549" s="92" t="s">
        <v>780</v>
      </c>
      <c r="L549" s="92" t="s">
        <v>1742</v>
      </c>
      <c r="M549" s="92" t="s">
        <v>231</v>
      </c>
      <c r="N549" s="92"/>
      <c r="O549" s="93"/>
      <c r="P549" s="92"/>
      <c r="Q549" s="92"/>
      <c r="R549" s="52" t="s">
        <v>242</v>
      </c>
      <c r="S549" s="52"/>
      <c r="T549" s="52"/>
      <c r="U549" s="52" t="s">
        <v>780</v>
      </c>
      <c r="V549" s="92"/>
      <c r="W549" s="245">
        <v>1</v>
      </c>
      <c r="X549" s="52"/>
      <c r="Y549" s="92"/>
      <c r="Z549" s="94"/>
      <c r="AA549" s="52" t="s">
        <v>4010</v>
      </c>
      <c r="AB549" s="92" t="s">
        <v>4011</v>
      </c>
      <c r="AC549" s="92" t="s">
        <v>38</v>
      </c>
      <c r="AD549" s="92"/>
      <c r="AE549" s="324"/>
      <c r="AF549" s="92"/>
      <c r="AG549" s="92"/>
      <c r="AH549" s="92"/>
      <c r="AI549" s="92"/>
      <c r="AJ549" s="92"/>
      <c r="AK549" s="92"/>
      <c r="AL549" s="92"/>
      <c r="AM549" s="92"/>
      <c r="AN549" s="92"/>
      <c r="AO549" s="92"/>
      <c r="AP549" s="92"/>
      <c r="AQ549" s="92"/>
      <c r="AR549" s="92"/>
      <c r="AS549" s="90"/>
      <c r="AT549" s="97"/>
      <c r="AU549" s="97"/>
      <c r="AV549" s="97"/>
      <c r="AW549" s="97"/>
      <c r="AX549" s="97"/>
      <c r="AY549" s="94"/>
      <c r="AZ549" s="94"/>
      <c r="BA549" s="94"/>
      <c r="BB549" s="91"/>
      <c r="BC549" s="97"/>
      <c r="BD549" s="97" t="s">
        <v>780</v>
      </c>
      <c r="BE549" s="92"/>
      <c r="BF549" s="92"/>
      <c r="BG549" s="52"/>
      <c r="BH549" s="52"/>
      <c r="BI549" s="52"/>
      <c r="BJ549" s="52"/>
      <c r="BK549" s="90"/>
    </row>
    <row x14ac:dyDescent="0.25" r="550" customHeight="1" ht="31.5">
      <c r="A550" s="153" t="s">
        <v>3982</v>
      </c>
      <c r="B550" s="52" t="s">
        <v>3982</v>
      </c>
      <c r="C550" s="52" t="s">
        <v>3982</v>
      </c>
      <c r="D550" s="52" t="s">
        <v>4012</v>
      </c>
      <c r="E550" s="92"/>
      <c r="F550" s="92" t="s">
        <v>226</v>
      </c>
      <c r="G550" s="92" t="s">
        <v>3980</v>
      </c>
      <c r="H550" s="92" t="s">
        <v>386</v>
      </c>
      <c r="I550" s="92" t="s">
        <v>386</v>
      </c>
      <c r="J550" s="92" t="s">
        <v>386</v>
      </c>
      <c r="K550" s="92" t="s">
        <v>780</v>
      </c>
      <c r="L550" s="92" t="s">
        <v>1396</v>
      </c>
      <c r="M550" s="92" t="s">
        <v>231</v>
      </c>
      <c r="N550" s="92"/>
      <c r="O550" s="93"/>
      <c r="P550" s="92"/>
      <c r="Q550" s="92"/>
      <c r="R550" s="52" t="s">
        <v>242</v>
      </c>
      <c r="S550" s="52"/>
      <c r="T550" s="52"/>
      <c r="U550" s="52" t="s">
        <v>780</v>
      </c>
      <c r="V550" s="92"/>
      <c r="W550" s="245">
        <v>1</v>
      </c>
      <c r="X550" s="52"/>
      <c r="Y550" s="92"/>
      <c r="Z550" s="94"/>
      <c r="AA550" s="52" t="s">
        <v>4013</v>
      </c>
      <c r="AB550" s="92" t="s">
        <v>4014</v>
      </c>
      <c r="AC550" s="92" t="s">
        <v>52</v>
      </c>
      <c r="AD550" s="92"/>
      <c r="AE550" s="324"/>
      <c r="AF550" s="92"/>
      <c r="AG550" s="92"/>
      <c r="AH550" s="92"/>
      <c r="AI550" s="92"/>
      <c r="AJ550" s="92"/>
      <c r="AK550" s="92"/>
      <c r="AL550" s="92"/>
      <c r="AM550" s="92"/>
      <c r="AN550" s="92"/>
      <c r="AO550" s="92"/>
      <c r="AP550" s="92"/>
      <c r="AQ550" s="92"/>
      <c r="AR550" s="92"/>
      <c r="AS550" s="90"/>
      <c r="AT550" s="97"/>
      <c r="AU550" s="97"/>
      <c r="AV550" s="97"/>
      <c r="AW550" s="97"/>
      <c r="AX550" s="97"/>
      <c r="AY550" s="94"/>
      <c r="AZ550" s="94"/>
      <c r="BA550" s="94"/>
      <c r="BB550" s="91"/>
      <c r="BC550" s="97"/>
      <c r="BD550" s="97" t="s">
        <v>780</v>
      </c>
      <c r="BE550" s="92"/>
      <c r="BF550" s="92"/>
      <c r="BG550" s="52"/>
      <c r="BH550" s="52"/>
      <c r="BI550" s="52"/>
      <c r="BJ550" s="52"/>
      <c r="BK550" s="90"/>
    </row>
    <row x14ac:dyDescent="0.25" r="551" customHeight="1" ht="31.5">
      <c r="A551" s="153" t="s">
        <v>3982</v>
      </c>
      <c r="B551" s="52" t="s">
        <v>3982</v>
      </c>
      <c r="C551" s="52" t="s">
        <v>3982</v>
      </c>
      <c r="D551" s="52" t="s">
        <v>4015</v>
      </c>
      <c r="E551" s="92"/>
      <c r="F551" s="92" t="s">
        <v>226</v>
      </c>
      <c r="G551" s="92" t="s">
        <v>3980</v>
      </c>
      <c r="H551" s="92" t="s">
        <v>386</v>
      </c>
      <c r="I551" s="92" t="s">
        <v>386</v>
      </c>
      <c r="J551" s="92" t="s">
        <v>386</v>
      </c>
      <c r="K551" s="92" t="s">
        <v>780</v>
      </c>
      <c r="L551" s="92" t="s">
        <v>799</v>
      </c>
      <c r="M551" s="92" t="s">
        <v>231</v>
      </c>
      <c r="N551" s="92"/>
      <c r="O551" s="93"/>
      <c r="P551" s="92"/>
      <c r="Q551" s="92"/>
      <c r="R551" s="52" t="s">
        <v>242</v>
      </c>
      <c r="S551" s="52"/>
      <c r="T551" s="52"/>
      <c r="U551" s="52" t="s">
        <v>780</v>
      </c>
      <c r="V551" s="92"/>
      <c r="W551" s="245">
        <v>1</v>
      </c>
      <c r="X551" s="52"/>
      <c r="Y551" s="92"/>
      <c r="Z551" s="94"/>
      <c r="AA551" s="52" t="s">
        <v>4016</v>
      </c>
      <c r="AB551" s="92" t="s">
        <v>4017</v>
      </c>
      <c r="AC551" s="92" t="s">
        <v>52</v>
      </c>
      <c r="AD551" s="92"/>
      <c r="AE551" s="324"/>
      <c r="AF551" s="92"/>
      <c r="AG551" s="92"/>
      <c r="AH551" s="92"/>
      <c r="AI551" s="92"/>
      <c r="AJ551" s="92"/>
      <c r="AK551" s="92"/>
      <c r="AL551" s="92"/>
      <c r="AM551" s="92"/>
      <c r="AN551" s="92"/>
      <c r="AO551" s="92"/>
      <c r="AP551" s="92"/>
      <c r="AQ551" s="92"/>
      <c r="AR551" s="92"/>
      <c r="AS551" s="90"/>
      <c r="AT551" s="97"/>
      <c r="AU551" s="97"/>
      <c r="AV551" s="97"/>
      <c r="AW551" s="97"/>
      <c r="AX551" s="97"/>
      <c r="AY551" s="94"/>
      <c r="AZ551" s="94"/>
      <c r="BA551" s="94"/>
      <c r="BB551" s="91"/>
      <c r="BC551" s="97"/>
      <c r="BD551" s="97" t="s">
        <v>780</v>
      </c>
      <c r="BE551" s="92"/>
      <c r="BF551" s="92"/>
      <c r="BG551" s="52"/>
      <c r="BH551" s="52"/>
      <c r="BI551" s="52"/>
      <c r="BJ551" s="52"/>
      <c r="BK551" s="90"/>
    </row>
    <row x14ac:dyDescent="0.25" r="552" customHeight="1" ht="31.5">
      <c r="A552" s="153" t="s">
        <v>3982</v>
      </c>
      <c r="B552" s="52" t="s">
        <v>3982</v>
      </c>
      <c r="C552" s="52" t="s">
        <v>3982</v>
      </c>
      <c r="D552" s="52" t="s">
        <v>4018</v>
      </c>
      <c r="E552" s="92"/>
      <c r="F552" s="92" t="s">
        <v>226</v>
      </c>
      <c r="G552" s="92" t="s">
        <v>3980</v>
      </c>
      <c r="H552" s="92" t="s">
        <v>386</v>
      </c>
      <c r="I552" s="92" t="s">
        <v>386</v>
      </c>
      <c r="J552" s="92" t="s">
        <v>386</v>
      </c>
      <c r="K552" s="92" t="s">
        <v>780</v>
      </c>
      <c r="L552" s="92" t="s">
        <v>4019</v>
      </c>
      <c r="M552" s="92" t="s">
        <v>231</v>
      </c>
      <c r="N552" s="92"/>
      <c r="O552" s="93"/>
      <c r="P552" s="92"/>
      <c r="Q552" s="92"/>
      <c r="R552" s="52" t="s">
        <v>242</v>
      </c>
      <c r="S552" s="52"/>
      <c r="T552" s="52"/>
      <c r="U552" s="52" t="s">
        <v>780</v>
      </c>
      <c r="V552" s="92"/>
      <c r="W552" s="245">
        <v>1</v>
      </c>
      <c r="X552" s="52"/>
      <c r="Y552" s="92"/>
      <c r="Z552" s="94"/>
      <c r="AA552" s="52" t="s">
        <v>4020</v>
      </c>
      <c r="AB552" s="92" t="s">
        <v>4021</v>
      </c>
      <c r="AC552" s="92" t="s">
        <v>52</v>
      </c>
      <c r="AD552" s="92"/>
      <c r="AE552" s="324"/>
      <c r="AF552" s="92"/>
      <c r="AG552" s="92"/>
      <c r="AH552" s="92"/>
      <c r="AI552" s="92"/>
      <c r="AJ552" s="92"/>
      <c r="AK552" s="92"/>
      <c r="AL552" s="92"/>
      <c r="AM552" s="92"/>
      <c r="AN552" s="92"/>
      <c r="AO552" s="92"/>
      <c r="AP552" s="92"/>
      <c r="AQ552" s="92"/>
      <c r="AR552" s="92"/>
      <c r="AS552" s="90"/>
      <c r="AT552" s="97"/>
      <c r="AU552" s="97"/>
      <c r="AV552" s="97"/>
      <c r="AW552" s="97"/>
      <c r="AX552" s="97"/>
      <c r="AY552" s="94"/>
      <c r="AZ552" s="94"/>
      <c r="BA552" s="94"/>
      <c r="BB552" s="91"/>
      <c r="BC552" s="97"/>
      <c r="BD552" s="97" t="s">
        <v>780</v>
      </c>
      <c r="BE552" s="92"/>
      <c r="BF552" s="92"/>
      <c r="BG552" s="52"/>
      <c r="BH552" s="52"/>
      <c r="BI552" s="52"/>
      <c r="BJ552" s="52"/>
      <c r="BK552" s="90"/>
    </row>
    <row x14ac:dyDescent="0.25" r="553" customHeight="1" ht="31.5">
      <c r="A553" s="153" t="s">
        <v>3982</v>
      </c>
      <c r="B553" s="52" t="s">
        <v>3982</v>
      </c>
      <c r="C553" s="52" t="s">
        <v>3982</v>
      </c>
      <c r="D553" s="52" t="s">
        <v>4022</v>
      </c>
      <c r="E553" s="92"/>
      <c r="F553" s="92" t="s">
        <v>226</v>
      </c>
      <c r="G553" s="92" t="s">
        <v>3980</v>
      </c>
      <c r="H553" s="92" t="s">
        <v>386</v>
      </c>
      <c r="I553" s="92" t="s">
        <v>386</v>
      </c>
      <c r="J553" s="92" t="s">
        <v>386</v>
      </c>
      <c r="K553" s="92" t="s">
        <v>780</v>
      </c>
      <c r="L553" s="92" t="s">
        <v>3615</v>
      </c>
      <c r="M553" s="92" t="s">
        <v>231</v>
      </c>
      <c r="N553" s="92"/>
      <c r="O553" s="93"/>
      <c r="P553" s="92"/>
      <c r="Q553" s="92"/>
      <c r="R553" s="52" t="s">
        <v>242</v>
      </c>
      <c r="S553" s="52"/>
      <c r="T553" s="52"/>
      <c r="U553" s="52" t="s">
        <v>780</v>
      </c>
      <c r="V553" s="92"/>
      <c r="W553" s="245">
        <v>1</v>
      </c>
      <c r="X553" s="52"/>
      <c r="Y553" s="92"/>
      <c r="Z553" s="94"/>
      <c r="AA553" s="52" t="s">
        <v>4023</v>
      </c>
      <c r="AB553" s="92" t="s">
        <v>4024</v>
      </c>
      <c r="AC553" s="92" t="s">
        <v>52</v>
      </c>
      <c r="AD553" s="92"/>
      <c r="AE553" s="324"/>
      <c r="AF553" s="92"/>
      <c r="AG553" s="92"/>
      <c r="AH553" s="92"/>
      <c r="AI553" s="92"/>
      <c r="AJ553" s="92"/>
      <c r="AK553" s="92"/>
      <c r="AL553" s="92"/>
      <c r="AM553" s="92"/>
      <c r="AN553" s="92"/>
      <c r="AO553" s="92"/>
      <c r="AP553" s="92"/>
      <c r="AQ553" s="92"/>
      <c r="AR553" s="92"/>
      <c r="AS553" s="90"/>
      <c r="AT553" s="97"/>
      <c r="AU553" s="97"/>
      <c r="AV553" s="97"/>
      <c r="AW553" s="97"/>
      <c r="AX553" s="97"/>
      <c r="AY553" s="94"/>
      <c r="AZ553" s="94"/>
      <c r="BA553" s="94"/>
      <c r="BB553" s="91"/>
      <c r="BC553" s="97"/>
      <c r="BD553" s="97" t="s">
        <v>780</v>
      </c>
      <c r="BE553" s="92"/>
      <c r="BF553" s="92"/>
      <c r="BG553" s="52"/>
      <c r="BH553" s="52"/>
      <c r="BI553" s="52"/>
      <c r="BJ553" s="52"/>
      <c r="BK553" s="90"/>
    </row>
    <row x14ac:dyDescent="0.25" r="554" customHeight="1" ht="31.5">
      <c r="A554" s="153" t="s">
        <v>3982</v>
      </c>
      <c r="B554" s="52" t="s">
        <v>3982</v>
      </c>
      <c r="C554" s="52" t="s">
        <v>3982</v>
      </c>
      <c r="D554" s="52" t="s">
        <v>4025</v>
      </c>
      <c r="E554" s="92"/>
      <c r="F554" s="92" t="s">
        <v>226</v>
      </c>
      <c r="G554" s="92" t="s">
        <v>3980</v>
      </c>
      <c r="H554" s="92" t="s">
        <v>386</v>
      </c>
      <c r="I554" s="92" t="s">
        <v>386</v>
      </c>
      <c r="J554" s="92" t="s">
        <v>386</v>
      </c>
      <c r="K554" s="92" t="s">
        <v>780</v>
      </c>
      <c r="L554" s="92" t="s">
        <v>3496</v>
      </c>
      <c r="M554" s="92" t="s">
        <v>231</v>
      </c>
      <c r="N554" s="92"/>
      <c r="O554" s="93"/>
      <c r="P554" s="92"/>
      <c r="Q554" s="92"/>
      <c r="R554" s="52" t="s">
        <v>242</v>
      </c>
      <c r="S554" s="52"/>
      <c r="T554" s="52"/>
      <c r="U554" s="52" t="s">
        <v>780</v>
      </c>
      <c r="V554" s="92"/>
      <c r="W554" s="245">
        <v>1</v>
      </c>
      <c r="X554" s="52"/>
      <c r="Y554" s="92"/>
      <c r="Z554" s="94"/>
      <c r="AA554" s="52" t="s">
        <v>4026</v>
      </c>
      <c r="AB554" s="92" t="s">
        <v>4027</v>
      </c>
      <c r="AC554" s="92" t="s">
        <v>52</v>
      </c>
      <c r="AD554" s="92"/>
      <c r="AE554" s="324"/>
      <c r="AF554" s="92"/>
      <c r="AG554" s="92"/>
      <c r="AH554" s="92"/>
      <c r="AI554" s="92"/>
      <c r="AJ554" s="92"/>
      <c r="AK554" s="92"/>
      <c r="AL554" s="92"/>
      <c r="AM554" s="92"/>
      <c r="AN554" s="92"/>
      <c r="AO554" s="92"/>
      <c r="AP554" s="92"/>
      <c r="AQ554" s="92"/>
      <c r="AR554" s="92"/>
      <c r="AS554" s="90"/>
      <c r="AT554" s="97"/>
      <c r="AU554" s="97"/>
      <c r="AV554" s="97"/>
      <c r="AW554" s="97"/>
      <c r="AX554" s="97"/>
      <c r="AY554" s="94"/>
      <c r="AZ554" s="94"/>
      <c r="BA554" s="94"/>
      <c r="BB554" s="91"/>
      <c r="BC554" s="97"/>
      <c r="BD554" s="97" t="s">
        <v>780</v>
      </c>
      <c r="BE554" s="92"/>
      <c r="BF554" s="92"/>
      <c r="BG554" s="52"/>
      <c r="BH554" s="52"/>
      <c r="BI554" s="52"/>
      <c r="BJ554" s="52"/>
      <c r="BK554" s="90"/>
    </row>
    <row x14ac:dyDescent="0.25" r="555" customHeight="1" ht="31.5">
      <c r="A555" s="153" t="s">
        <v>3982</v>
      </c>
      <c r="B555" s="52" t="s">
        <v>3982</v>
      </c>
      <c r="C555" s="52" t="s">
        <v>3982</v>
      </c>
      <c r="D555" s="52" t="s">
        <v>4028</v>
      </c>
      <c r="E555" s="92"/>
      <c r="F555" s="92" t="s">
        <v>1297</v>
      </c>
      <c r="G555" s="92" t="s">
        <v>3980</v>
      </c>
      <c r="H555" s="92" t="s">
        <v>386</v>
      </c>
      <c r="I555" s="92" t="s">
        <v>386</v>
      </c>
      <c r="J555" s="92" t="s">
        <v>386</v>
      </c>
      <c r="K555" s="92" t="s">
        <v>780</v>
      </c>
      <c r="L555" s="92" t="s">
        <v>4029</v>
      </c>
      <c r="M555" s="92" t="s">
        <v>231</v>
      </c>
      <c r="N555" s="92"/>
      <c r="O555" s="93"/>
      <c r="P555" s="92"/>
      <c r="Q555" s="92"/>
      <c r="R555" s="52" t="s">
        <v>242</v>
      </c>
      <c r="S555" s="52"/>
      <c r="T555" s="52"/>
      <c r="U555" s="52" t="s">
        <v>780</v>
      </c>
      <c r="V555" s="92"/>
      <c r="W555" s="245">
        <v>1</v>
      </c>
      <c r="X555" s="52"/>
      <c r="Y555" s="92"/>
      <c r="Z555" s="94"/>
      <c r="AA555" s="52" t="s">
        <v>4028</v>
      </c>
      <c r="AB555" s="92" t="s">
        <v>4030</v>
      </c>
      <c r="AC555" s="92" t="s">
        <v>24</v>
      </c>
      <c r="AD555" s="92"/>
      <c r="AE555" s="324"/>
      <c r="AF555" s="92"/>
      <c r="AG555" s="92"/>
      <c r="AH555" s="92"/>
      <c r="AI555" s="92"/>
      <c r="AJ555" s="92"/>
      <c r="AK555" s="92"/>
      <c r="AL555" s="92"/>
      <c r="AM555" s="92"/>
      <c r="AN555" s="92"/>
      <c r="AO555" s="92"/>
      <c r="AP555" s="92"/>
      <c r="AQ555" s="92"/>
      <c r="AR555" s="92"/>
      <c r="AS555" s="90"/>
      <c r="AT555" s="97"/>
      <c r="AU555" s="97"/>
      <c r="AV555" s="97"/>
      <c r="AW555" s="97"/>
      <c r="AX555" s="97"/>
      <c r="AY555" s="94"/>
      <c r="AZ555" s="94"/>
      <c r="BA555" s="94"/>
      <c r="BB555" s="91"/>
      <c r="BC555" s="97"/>
      <c r="BD555" s="97" t="s">
        <v>780</v>
      </c>
      <c r="BE555" s="92"/>
      <c r="BF555" s="92"/>
      <c r="BG555" s="52"/>
      <c r="BH555" s="52"/>
      <c r="BI555" s="52"/>
      <c r="BJ555" s="52"/>
      <c r="BK555" s="90"/>
    </row>
    <row x14ac:dyDescent="0.25" r="556" customHeight="1" ht="31.5">
      <c r="A556" s="153" t="s">
        <v>3982</v>
      </c>
      <c r="B556" s="52" t="s">
        <v>3982</v>
      </c>
      <c r="C556" s="52" t="s">
        <v>3982</v>
      </c>
      <c r="D556" s="52" t="s">
        <v>2073</v>
      </c>
      <c r="E556" s="92"/>
      <c r="F556" s="92" t="s">
        <v>3705</v>
      </c>
      <c r="G556" s="92" t="s">
        <v>3980</v>
      </c>
      <c r="H556" s="92" t="s">
        <v>386</v>
      </c>
      <c r="I556" s="92" t="s">
        <v>386</v>
      </c>
      <c r="J556" s="92" t="s">
        <v>386</v>
      </c>
      <c r="K556" s="92" t="s">
        <v>780</v>
      </c>
      <c r="L556" s="92" t="s">
        <v>4031</v>
      </c>
      <c r="M556" s="92" t="s">
        <v>231</v>
      </c>
      <c r="N556" s="92"/>
      <c r="O556" s="93"/>
      <c r="P556" s="92"/>
      <c r="Q556" s="92"/>
      <c r="R556" s="52" t="s">
        <v>242</v>
      </c>
      <c r="S556" s="52"/>
      <c r="T556" s="52"/>
      <c r="U556" s="52" t="s">
        <v>780</v>
      </c>
      <c r="V556" s="92"/>
      <c r="W556" s="245">
        <v>1</v>
      </c>
      <c r="X556" s="52"/>
      <c r="Y556" s="92"/>
      <c r="Z556" s="94"/>
      <c r="AA556" s="52" t="s">
        <v>2073</v>
      </c>
      <c r="AB556" s="92" t="s">
        <v>4032</v>
      </c>
      <c r="AC556" s="92" t="s">
        <v>88</v>
      </c>
      <c r="AD556" s="92"/>
      <c r="AE556" s="324"/>
      <c r="AF556" s="92"/>
      <c r="AG556" s="92"/>
      <c r="AH556" s="92"/>
      <c r="AI556" s="92"/>
      <c r="AJ556" s="325" t="s">
        <v>4033</v>
      </c>
      <c r="AK556" s="92" t="s">
        <v>238</v>
      </c>
      <c r="AL556" s="92"/>
      <c r="AM556" s="92"/>
      <c r="AN556" s="92"/>
      <c r="AO556" s="92"/>
      <c r="AP556" s="92"/>
      <c r="AQ556" s="92"/>
      <c r="AR556" s="92"/>
      <c r="AS556" s="90"/>
      <c r="AT556" s="97"/>
      <c r="AU556" s="97"/>
      <c r="AV556" s="97"/>
      <c r="AW556" s="97"/>
      <c r="AX556" s="97"/>
      <c r="AY556" s="94"/>
      <c r="AZ556" s="94"/>
      <c r="BA556" s="94"/>
      <c r="BB556" s="91"/>
      <c r="BC556" s="97"/>
      <c r="BD556" s="97" t="s">
        <v>780</v>
      </c>
      <c r="BE556" s="92"/>
      <c r="BF556" s="92"/>
      <c r="BG556" s="52"/>
      <c r="BH556" s="52"/>
      <c r="BI556" s="52"/>
      <c r="BJ556" s="52"/>
      <c r="BK556" s="90"/>
    </row>
    <row x14ac:dyDescent="0.25" r="557" customHeight="1" ht="31.5">
      <c r="A557" s="153" t="s">
        <v>3982</v>
      </c>
      <c r="B557" s="52" t="s">
        <v>3982</v>
      </c>
      <c r="C557" s="31" t="s">
        <v>225</v>
      </c>
      <c r="D557" s="31" t="s">
        <v>4034</v>
      </c>
      <c r="E557" s="5"/>
      <c r="F557" s="5" t="s">
        <v>226</v>
      </c>
      <c r="G557" s="5" t="s">
        <v>3980</v>
      </c>
      <c r="H557" s="31"/>
      <c r="I557" s="31"/>
      <c r="J557" s="31"/>
      <c r="K557" s="5" t="s">
        <v>4035</v>
      </c>
      <c r="L557" s="5" t="s">
        <v>4036</v>
      </c>
      <c r="M557" s="5" t="s">
        <v>231</v>
      </c>
      <c r="N557" s="5"/>
      <c r="O557" s="33"/>
      <c r="P557" s="5"/>
      <c r="Q557" s="5"/>
      <c r="R557" s="31" t="s">
        <v>242</v>
      </c>
      <c r="S557" s="31"/>
      <c r="T557" s="31"/>
      <c r="U557" s="31" t="s">
        <v>4037</v>
      </c>
      <c r="V557" s="5"/>
      <c r="W557" s="40">
        <v>1</v>
      </c>
      <c r="X557" s="41" t="s">
        <v>594</v>
      </c>
      <c r="Y557" s="42" t="s">
        <v>386</v>
      </c>
      <c r="Z557" s="38"/>
      <c r="AA557" s="31" t="s">
        <v>4038</v>
      </c>
      <c r="AB557" s="62" t="s">
        <v>4039</v>
      </c>
      <c r="AC557" s="62" t="s">
        <v>52</v>
      </c>
      <c r="AD557" s="62" t="s">
        <v>596</v>
      </c>
      <c r="AE557" s="304" t="s">
        <v>734</v>
      </c>
      <c r="AF557" s="5" t="s">
        <v>2393</v>
      </c>
      <c r="AG557" s="5"/>
      <c r="AH557" s="5"/>
      <c r="AI557" s="5"/>
      <c r="AJ557" s="5" t="s">
        <v>605</v>
      </c>
      <c r="AK557" s="5" t="s">
        <v>596</v>
      </c>
      <c r="AL557" s="5"/>
      <c r="AM557" s="5"/>
      <c r="AN557" s="5"/>
      <c r="AO557" s="5"/>
      <c r="AP557" s="5"/>
      <c r="AQ557" s="5"/>
      <c r="AR557" s="5"/>
      <c r="AS557" s="30"/>
      <c r="AT557" s="37"/>
      <c r="AU557" s="37"/>
      <c r="AV557" s="37"/>
      <c r="AW557" s="37"/>
      <c r="AX557" s="37"/>
      <c r="AY557" s="38"/>
      <c r="AZ557" s="38"/>
      <c r="BA557" s="38"/>
      <c r="BB557" s="46"/>
      <c r="BC557" s="135"/>
      <c r="BD557" s="135"/>
      <c r="BE557" s="5"/>
      <c r="BF557" s="5"/>
      <c r="BG557" s="31" t="s">
        <v>4040</v>
      </c>
      <c r="BH557" s="31" t="s">
        <v>4040</v>
      </c>
      <c r="BI557" s="31" t="s">
        <v>4040</v>
      </c>
      <c r="BJ557" s="48"/>
      <c r="BK557" s="49">
        <v>2</v>
      </c>
    </row>
    <row x14ac:dyDescent="0.25" r="558" customHeight="1" ht="31.5">
      <c r="A558" s="229" t="s">
        <v>3982</v>
      </c>
      <c r="B558" s="277" t="s">
        <v>3982</v>
      </c>
      <c r="C558" s="277" t="s">
        <v>3982</v>
      </c>
      <c r="D558" s="31" t="s">
        <v>4041</v>
      </c>
      <c r="E558" s="5"/>
      <c r="F558" s="5" t="s">
        <v>3680</v>
      </c>
      <c r="G558" s="5"/>
      <c r="H558" s="31"/>
      <c r="I558" s="31"/>
      <c r="J558" s="31"/>
      <c r="K558" s="5" t="s">
        <v>4042</v>
      </c>
      <c r="L558" s="5"/>
      <c r="M558" s="5" t="s">
        <v>231</v>
      </c>
      <c r="N558" s="5"/>
      <c r="O558" s="33"/>
      <c r="P558" s="5"/>
      <c r="Q558" s="5"/>
      <c r="R558" s="31" t="s">
        <v>242</v>
      </c>
      <c r="S558" s="31" t="s">
        <v>4043</v>
      </c>
      <c r="T558" s="31"/>
      <c r="U558" s="31"/>
      <c r="V558" s="5"/>
      <c r="W558" s="40">
        <v>0</v>
      </c>
      <c r="X558" s="41"/>
      <c r="Y558" s="42"/>
      <c r="Z558" s="38"/>
      <c r="AA558" s="31"/>
      <c r="AB558" s="57" t="s">
        <v>4044</v>
      </c>
      <c r="AC558" s="5" t="s">
        <v>76</v>
      </c>
      <c r="AD558" s="5" t="s">
        <v>259</v>
      </c>
      <c r="AE558" s="169" t="s">
        <v>4045</v>
      </c>
      <c r="AF558" s="57" t="s">
        <v>4044</v>
      </c>
      <c r="AG558" s="5"/>
      <c r="AH558" s="5"/>
      <c r="AI558" s="5"/>
      <c r="AJ558" s="5"/>
      <c r="AK558" s="5"/>
      <c r="AL558" s="5"/>
      <c r="AM558" s="5"/>
      <c r="AN558" s="5"/>
      <c r="AO558" s="57" t="s">
        <v>4046</v>
      </c>
      <c r="AP558" s="5"/>
      <c r="AQ558" s="5"/>
      <c r="AR558" s="5"/>
      <c r="AS558" s="30"/>
      <c r="AT558" s="37"/>
      <c r="AU558" s="37"/>
      <c r="AV558" s="37"/>
      <c r="AW558" s="37"/>
      <c r="AX558" s="37"/>
      <c r="AY558" s="38"/>
      <c r="AZ558" s="38"/>
      <c r="BA558" s="38"/>
      <c r="BB558" s="46"/>
      <c r="BC558" s="37" t="s">
        <v>780</v>
      </c>
      <c r="BD558" s="37"/>
      <c r="BE558" s="5"/>
      <c r="BF558" s="5"/>
      <c r="BG558" s="3"/>
      <c r="BH558" s="31" t="s">
        <v>4047</v>
      </c>
      <c r="BI558" s="31"/>
      <c r="BJ558" s="48"/>
      <c r="BK558" s="49"/>
    </row>
    <row x14ac:dyDescent="0.25" r="559" customHeight="1" ht="31.5">
      <c r="A559" s="229" t="s">
        <v>4048</v>
      </c>
      <c r="B559" s="277" t="s">
        <v>4048</v>
      </c>
      <c r="C559" s="31" t="s">
        <v>4048</v>
      </c>
      <c r="D559" s="31" t="s">
        <v>4049</v>
      </c>
      <c r="E559" s="5"/>
      <c r="F559" s="5" t="s">
        <v>4050</v>
      </c>
      <c r="G559" s="5" t="s">
        <v>386</v>
      </c>
      <c r="H559" s="31"/>
      <c r="I559" s="31"/>
      <c r="J559" s="31"/>
      <c r="K559" s="5"/>
      <c r="L559" s="5"/>
      <c r="M559" s="5" t="s">
        <v>231</v>
      </c>
      <c r="N559" s="5"/>
      <c r="O559" s="33"/>
      <c r="P559" s="5"/>
      <c r="Q559" s="5"/>
      <c r="R559" s="31" t="s">
        <v>2284</v>
      </c>
      <c r="S559" s="31" t="s">
        <v>386</v>
      </c>
      <c r="T559" s="31"/>
      <c r="U559" s="31" t="s">
        <v>386</v>
      </c>
      <c r="V559" s="5" t="s">
        <v>386</v>
      </c>
      <c r="W559" s="40">
        <v>0</v>
      </c>
      <c r="X559" s="41"/>
      <c r="Y559" s="42"/>
      <c r="Z559" s="38"/>
      <c r="AA559" s="31"/>
      <c r="AB559" s="5" t="s">
        <v>4051</v>
      </c>
      <c r="AC559" s="5" t="s">
        <v>24</v>
      </c>
      <c r="AD559" s="5" t="s">
        <v>259</v>
      </c>
      <c r="AE559" s="169" t="s">
        <v>4051</v>
      </c>
      <c r="AF559" s="5" t="s">
        <v>4044</v>
      </c>
      <c r="AG559" s="5"/>
      <c r="AH559" s="5"/>
      <c r="AI559" s="5"/>
      <c r="AJ559" s="5" t="s">
        <v>747</v>
      </c>
      <c r="AK559" s="330" t="s">
        <v>4052</v>
      </c>
      <c r="AL559" s="5"/>
      <c r="AM559" s="5"/>
      <c r="AN559" s="5"/>
      <c r="AO559" s="5" t="s">
        <v>4046</v>
      </c>
      <c r="AP559" s="5"/>
      <c r="AQ559" s="5"/>
      <c r="AR559" s="5"/>
      <c r="AS559" s="30">
        <v>144</v>
      </c>
      <c r="AT559" s="37"/>
      <c r="AU559" s="37"/>
      <c r="AV559" s="37"/>
      <c r="AW559" s="37"/>
      <c r="AX559" s="37"/>
      <c r="AY559" s="38"/>
      <c r="AZ559" s="38"/>
      <c r="BA559" s="38"/>
      <c r="BB559" s="46"/>
      <c r="BC559" s="37"/>
      <c r="BD559" s="37"/>
      <c r="BE559" s="5"/>
      <c r="BF559" s="5"/>
      <c r="BG559" s="31"/>
      <c r="BH559" s="31"/>
      <c r="BI559" s="31"/>
      <c r="BJ559" s="48"/>
      <c r="BK559" s="49"/>
    </row>
    <row x14ac:dyDescent="0.25" r="560" customHeight="1" ht="31.5">
      <c r="A560" s="229"/>
      <c r="B560" s="277"/>
      <c r="C560" s="31"/>
      <c r="D560" s="31"/>
      <c r="E560" s="5"/>
      <c r="F560" s="5"/>
      <c r="G560" s="5"/>
      <c r="H560" s="31"/>
      <c r="I560" s="31"/>
      <c r="J560" s="31"/>
      <c r="K560" s="5"/>
      <c r="L560" s="5"/>
      <c r="M560" s="5"/>
      <c r="N560" s="5"/>
      <c r="O560" s="33"/>
      <c r="P560" s="5"/>
      <c r="Q560" s="5"/>
      <c r="R560" s="31"/>
      <c r="S560" s="31"/>
      <c r="T560" s="31"/>
      <c r="U560" s="31"/>
      <c r="V560" s="5"/>
      <c r="W560" s="134"/>
      <c r="X560" s="41"/>
      <c r="Y560" s="42"/>
      <c r="Z560" s="38"/>
      <c r="AA560" s="31"/>
      <c r="AB560" s="5"/>
      <c r="AC560" s="5"/>
      <c r="AD560" s="5"/>
      <c r="AE560" s="169"/>
      <c r="AF560" s="5"/>
      <c r="AG560" s="5"/>
      <c r="AH560" s="5"/>
      <c r="AI560" s="5"/>
      <c r="AJ560" s="5"/>
      <c r="AK560" s="5"/>
      <c r="AL560" s="5"/>
      <c r="AM560" s="5"/>
      <c r="AN560" s="5"/>
      <c r="AO560" s="5"/>
      <c r="AP560" s="5"/>
      <c r="AQ560" s="5"/>
      <c r="AR560" s="5"/>
      <c r="AS560" s="30"/>
      <c r="AT560" s="37"/>
      <c r="AU560" s="37"/>
      <c r="AV560" s="37"/>
      <c r="AW560" s="37"/>
      <c r="AX560" s="37"/>
      <c r="AY560" s="38"/>
      <c r="AZ560" s="38"/>
      <c r="BA560" s="38"/>
      <c r="BB560" s="46"/>
      <c r="BC560" s="37"/>
      <c r="BD560" s="37"/>
      <c r="BE560" s="5"/>
      <c r="BF560" s="5"/>
      <c r="BG560" s="31"/>
      <c r="BH560" s="31"/>
      <c r="BI560" s="31"/>
      <c r="BJ560" s="48"/>
      <c r="BK560" s="49"/>
    </row>
    <row x14ac:dyDescent="0.25" r="561" customHeight="1" ht="31.5">
      <c r="A561" s="229"/>
      <c r="B561" s="277"/>
      <c r="C561" s="31"/>
      <c r="D561" s="31"/>
      <c r="E561" s="5"/>
      <c r="F561" s="5"/>
      <c r="G561" s="5"/>
      <c r="H561" s="31"/>
      <c r="I561" s="31"/>
      <c r="J561" s="31"/>
      <c r="K561" s="5"/>
      <c r="L561" s="5"/>
      <c r="M561" s="5"/>
      <c r="N561" s="5"/>
      <c r="O561" s="33"/>
      <c r="P561" s="5"/>
      <c r="Q561" s="5"/>
      <c r="R561" s="31"/>
      <c r="S561" s="31"/>
      <c r="T561" s="31"/>
      <c r="U561" s="31"/>
      <c r="V561" s="5"/>
      <c r="W561" s="134"/>
      <c r="X561" s="41"/>
      <c r="Y561" s="42"/>
      <c r="Z561" s="38"/>
      <c r="AA561" s="31"/>
      <c r="AB561" s="5"/>
      <c r="AC561" s="5"/>
      <c r="AD561" s="5"/>
      <c r="AE561" s="169"/>
      <c r="AF561" s="5"/>
      <c r="AG561" s="5"/>
      <c r="AH561" s="5"/>
      <c r="AI561" s="5"/>
      <c r="AJ561" s="5"/>
      <c r="AK561" s="5"/>
      <c r="AL561" s="5"/>
      <c r="AM561" s="5"/>
      <c r="AN561" s="5"/>
      <c r="AO561" s="5"/>
      <c r="AP561" s="5"/>
      <c r="AQ561" s="5"/>
      <c r="AR561" s="5"/>
      <c r="AS561" s="30"/>
      <c r="AT561" s="37"/>
      <c r="AU561" s="37"/>
      <c r="AV561" s="37"/>
      <c r="AW561" s="37"/>
      <c r="AX561" s="37"/>
      <c r="AY561" s="38"/>
      <c r="AZ561" s="38"/>
      <c r="BA561" s="38"/>
      <c r="BB561" s="46"/>
      <c r="BC561" s="37"/>
      <c r="BD561" s="37"/>
      <c r="BE561" s="5"/>
      <c r="BF561" s="5"/>
      <c r="BG561" s="31"/>
      <c r="BH561" s="31"/>
      <c r="BI561" s="31"/>
      <c r="BJ561" s="48"/>
      <c r="BK561" s="49"/>
    </row>
    <row x14ac:dyDescent="0.25" r="562" customHeight="1" ht="31.5">
      <c r="A562" s="229"/>
      <c r="B562" s="277"/>
      <c r="C562" s="31"/>
      <c r="D562" s="31"/>
      <c r="E562" s="5"/>
      <c r="F562" s="5"/>
      <c r="G562" s="5"/>
      <c r="H562" s="31"/>
      <c r="I562" s="31"/>
      <c r="J562" s="31"/>
      <c r="K562" s="5"/>
      <c r="L562" s="5"/>
      <c r="M562" s="5"/>
      <c r="N562" s="5"/>
      <c r="O562" s="33"/>
      <c r="P562" s="5"/>
      <c r="Q562" s="5"/>
      <c r="R562" s="31"/>
      <c r="S562" s="31"/>
      <c r="T562" s="31"/>
      <c r="U562" s="31"/>
      <c r="V562" s="5"/>
      <c r="W562" s="134"/>
      <c r="X562" s="41"/>
      <c r="Y562" s="42"/>
      <c r="Z562" s="38"/>
      <c r="AA562" s="31"/>
      <c r="AB562" s="5"/>
      <c r="AC562" s="5"/>
      <c r="AD562" s="5"/>
      <c r="AE562" s="169"/>
      <c r="AF562" s="5"/>
      <c r="AG562" s="5"/>
      <c r="AH562" s="5"/>
      <c r="AI562" s="5"/>
      <c r="AJ562" s="5"/>
      <c r="AK562" s="5"/>
      <c r="AL562" s="5"/>
      <c r="AM562" s="5"/>
      <c r="AN562" s="5"/>
      <c r="AO562" s="5"/>
      <c r="AP562" s="5"/>
      <c r="AQ562" s="5"/>
      <c r="AR562" s="5"/>
      <c r="AS562" s="30"/>
      <c r="AT562" s="37"/>
      <c r="AU562" s="37"/>
      <c r="AV562" s="37"/>
      <c r="AW562" s="37"/>
      <c r="AX562" s="37"/>
      <c r="AY562" s="38"/>
      <c r="AZ562" s="38"/>
      <c r="BA562" s="38"/>
      <c r="BB562" s="46"/>
      <c r="BC562" s="37"/>
      <c r="BD562" s="37"/>
      <c r="BE562" s="5"/>
      <c r="BF562" s="5"/>
      <c r="BG562" s="31"/>
      <c r="BH562" s="31"/>
      <c r="BI562" s="31"/>
      <c r="BJ562" s="48"/>
      <c r="BK562" s="49"/>
    </row>
    <row x14ac:dyDescent="0.25" r="563" customHeight="1" ht="31.5">
      <c r="A563" s="229"/>
      <c r="B563" s="277"/>
      <c r="C563" s="31"/>
      <c r="D563" s="31"/>
      <c r="E563" s="5"/>
      <c r="F563" s="5"/>
      <c r="G563" s="5"/>
      <c r="H563" s="31"/>
      <c r="I563" s="31"/>
      <c r="J563" s="31"/>
      <c r="K563" s="5"/>
      <c r="L563" s="5"/>
      <c r="M563" s="5"/>
      <c r="N563" s="5"/>
      <c r="O563" s="33"/>
      <c r="P563" s="5"/>
      <c r="Q563" s="5"/>
      <c r="R563" s="31"/>
      <c r="S563" s="31"/>
      <c r="T563" s="31"/>
      <c r="U563" s="31"/>
      <c r="V563" s="5"/>
      <c r="W563" s="134"/>
      <c r="X563" s="41"/>
      <c r="Y563" s="42"/>
      <c r="Z563" s="38"/>
      <c r="AA563" s="31"/>
      <c r="AB563" s="5"/>
      <c r="AC563" s="5"/>
      <c r="AD563" s="5"/>
      <c r="AE563" s="169"/>
      <c r="AF563" s="5"/>
      <c r="AG563" s="5"/>
      <c r="AH563" s="5"/>
      <c r="AI563" s="5"/>
      <c r="AJ563" s="5"/>
      <c r="AK563" s="5"/>
      <c r="AL563" s="5"/>
      <c r="AM563" s="5"/>
      <c r="AN563" s="5"/>
      <c r="AO563" s="5"/>
      <c r="AP563" s="5"/>
      <c r="AQ563" s="5"/>
      <c r="AR563" s="5"/>
      <c r="AS563" s="30"/>
      <c r="AT563" s="37"/>
      <c r="AU563" s="37"/>
      <c r="AV563" s="37"/>
      <c r="AW563" s="37"/>
      <c r="AX563" s="37"/>
      <c r="AY563" s="38"/>
      <c r="AZ563" s="38"/>
      <c r="BA563" s="38"/>
      <c r="BB563" s="46"/>
      <c r="BC563" s="37"/>
      <c r="BD563" s="37"/>
      <c r="BE563" s="5"/>
      <c r="BF563" s="5"/>
      <c r="BG563" s="31"/>
      <c r="BH563" s="31"/>
      <c r="BI563" s="31"/>
      <c r="BJ563" s="48"/>
      <c r="BK563" s="49"/>
    </row>
    <row x14ac:dyDescent="0.25" r="564" customHeight="1" ht="31.5">
      <c r="A564" s="229"/>
      <c r="B564" s="277"/>
      <c r="C564" s="31"/>
      <c r="D564" s="31"/>
      <c r="E564" s="5"/>
      <c r="F564" s="5"/>
      <c r="G564" s="5"/>
      <c r="H564" s="31"/>
      <c r="I564" s="31"/>
      <c r="J564" s="31"/>
      <c r="K564" s="5"/>
      <c r="L564" s="5"/>
      <c r="M564" s="5"/>
      <c r="N564" s="5"/>
      <c r="O564" s="33"/>
      <c r="P564" s="5"/>
      <c r="Q564" s="5"/>
      <c r="R564" s="31"/>
      <c r="S564" s="31"/>
      <c r="T564" s="31"/>
      <c r="U564" s="31"/>
      <c r="V564" s="5"/>
      <c r="W564" s="134"/>
      <c r="X564" s="41"/>
      <c r="Y564" s="42"/>
      <c r="Z564" s="38"/>
      <c r="AA564" s="31"/>
      <c r="AB564" s="5"/>
      <c r="AC564" s="5"/>
      <c r="AD564" s="5"/>
      <c r="AE564" s="169"/>
      <c r="AF564" s="5"/>
      <c r="AG564" s="5"/>
      <c r="AH564" s="5"/>
      <c r="AI564" s="5"/>
      <c r="AJ564" s="5"/>
      <c r="AK564" s="5"/>
      <c r="AL564" s="5"/>
      <c r="AM564" s="5"/>
      <c r="AN564" s="5"/>
      <c r="AO564" s="5"/>
      <c r="AP564" s="5"/>
      <c r="AQ564" s="5"/>
      <c r="AR564" s="5"/>
      <c r="AS564" s="30"/>
      <c r="AT564" s="37"/>
      <c r="AU564" s="37"/>
      <c r="AV564" s="37"/>
      <c r="AW564" s="37"/>
      <c r="AX564" s="37"/>
      <c r="AY564" s="38"/>
      <c r="AZ564" s="38"/>
      <c r="BA564" s="38"/>
      <c r="BB564" s="46"/>
      <c r="BC564" s="37"/>
      <c r="BD564" s="37"/>
      <c r="BE564" s="5"/>
      <c r="BF564" s="5"/>
      <c r="BG564" s="31"/>
      <c r="BH564" s="31"/>
      <c r="BI564" s="31"/>
      <c r="BJ564" s="48"/>
      <c r="BK564" s="49"/>
    </row>
    <row x14ac:dyDescent="0.25" r="565" customHeight="1" ht="31.5">
      <c r="A565" s="229"/>
      <c r="B565" s="277"/>
      <c r="C565" s="31"/>
      <c r="D565" s="31"/>
      <c r="E565" s="5"/>
      <c r="F565" s="5"/>
      <c r="G565" s="5"/>
      <c r="H565" s="31"/>
      <c r="I565" s="31"/>
      <c r="J565" s="31"/>
      <c r="K565" s="5"/>
      <c r="L565" s="5"/>
      <c r="M565" s="5"/>
      <c r="N565" s="5"/>
      <c r="O565" s="33"/>
      <c r="P565" s="5"/>
      <c r="Q565" s="5"/>
      <c r="R565" s="31"/>
      <c r="S565" s="31"/>
      <c r="T565" s="31"/>
      <c r="U565" s="31"/>
      <c r="V565" s="5"/>
      <c r="W565" s="134"/>
      <c r="X565" s="41"/>
      <c r="Y565" s="42"/>
      <c r="Z565" s="38"/>
      <c r="AA565" s="31"/>
      <c r="AB565" s="5"/>
      <c r="AC565" s="5"/>
      <c r="AD565" s="5"/>
      <c r="AE565" s="169"/>
      <c r="AF565" s="5"/>
      <c r="AG565" s="5"/>
      <c r="AH565" s="5"/>
      <c r="AI565" s="5"/>
      <c r="AJ565" s="5"/>
      <c r="AK565" s="5"/>
      <c r="AL565" s="5"/>
      <c r="AM565" s="5"/>
      <c r="AN565" s="5"/>
      <c r="AO565" s="5"/>
      <c r="AP565" s="5"/>
      <c r="AQ565" s="5"/>
      <c r="AR565" s="5"/>
      <c r="AS565" s="30"/>
      <c r="AT565" s="37"/>
      <c r="AU565" s="37"/>
      <c r="AV565" s="37"/>
      <c r="AW565" s="37"/>
      <c r="AX565" s="37"/>
      <c r="AY565" s="38"/>
      <c r="AZ565" s="38"/>
      <c r="BA565" s="38"/>
      <c r="BB565" s="46"/>
      <c r="BC565" s="37"/>
      <c r="BD565" s="37"/>
      <c r="BE565" s="5"/>
      <c r="BF565" s="5"/>
      <c r="BG565" s="31"/>
      <c r="BH565" s="31"/>
      <c r="BI565" s="31"/>
      <c r="BJ565" s="48"/>
      <c r="BK565" s="49"/>
    </row>
    <row x14ac:dyDescent="0.25" r="566" customHeight="1" ht="31.5">
      <c r="A566" s="229"/>
      <c r="B566" s="277"/>
      <c r="C566" s="31"/>
      <c r="D566" s="31"/>
      <c r="E566" s="5"/>
      <c r="F566" s="5"/>
      <c r="G566" s="5"/>
      <c r="H566" s="31"/>
      <c r="I566" s="31"/>
      <c r="J566" s="31"/>
      <c r="K566" s="5"/>
      <c r="L566" s="5"/>
      <c r="M566" s="5"/>
      <c r="N566" s="5"/>
      <c r="O566" s="33"/>
      <c r="P566" s="5"/>
      <c r="Q566" s="5"/>
      <c r="R566" s="31"/>
      <c r="S566" s="31"/>
      <c r="T566" s="31"/>
      <c r="U566" s="31"/>
      <c r="V566" s="5"/>
      <c r="W566" s="134"/>
      <c r="X566" s="41"/>
      <c r="Y566" s="42"/>
      <c r="Z566" s="38"/>
      <c r="AA566" s="31"/>
      <c r="AB566" s="5"/>
      <c r="AC566" s="5"/>
      <c r="AD566" s="5"/>
      <c r="AE566" s="169"/>
      <c r="AF566" s="5"/>
      <c r="AG566" s="5"/>
      <c r="AH566" s="5"/>
      <c r="AI566" s="5"/>
      <c r="AJ566" s="5"/>
      <c r="AK566" s="5"/>
      <c r="AL566" s="5"/>
      <c r="AM566" s="5"/>
      <c r="AN566" s="5"/>
      <c r="AO566" s="5"/>
      <c r="AP566" s="5"/>
      <c r="AQ566" s="5"/>
      <c r="AR566" s="5"/>
      <c r="AS566" s="30"/>
      <c r="AT566" s="37"/>
      <c r="AU566" s="37"/>
      <c r="AV566" s="37"/>
      <c r="AW566" s="37"/>
      <c r="AX566" s="37"/>
      <c r="AY566" s="38"/>
      <c r="AZ566" s="38"/>
      <c r="BA566" s="38"/>
      <c r="BB566" s="46"/>
      <c r="BC566" s="37"/>
      <c r="BD566" s="37"/>
      <c r="BE566" s="5"/>
      <c r="BF566" s="5"/>
      <c r="BG566" s="31"/>
      <c r="BH566" s="31"/>
      <c r="BI566" s="31"/>
      <c r="BJ566" s="48"/>
      <c r="BK566" s="49"/>
    </row>
    <row x14ac:dyDescent="0.25" r="567" customHeight="1" ht="31.5">
      <c r="A567" s="229"/>
      <c r="B567" s="277"/>
      <c r="C567" s="31"/>
      <c r="D567" s="31"/>
      <c r="E567" s="5"/>
      <c r="F567" s="5"/>
      <c r="G567" s="5"/>
      <c r="H567" s="31"/>
      <c r="I567" s="31"/>
      <c r="J567" s="31"/>
      <c r="K567" s="5"/>
      <c r="L567" s="5"/>
      <c r="M567" s="5"/>
      <c r="N567" s="5"/>
      <c r="O567" s="33"/>
      <c r="P567" s="5"/>
      <c r="Q567" s="5"/>
      <c r="R567" s="31"/>
      <c r="S567" s="31"/>
      <c r="T567" s="31"/>
      <c r="U567" s="31"/>
      <c r="V567" s="5"/>
      <c r="W567" s="134"/>
      <c r="X567" s="41"/>
      <c r="Y567" s="42"/>
      <c r="Z567" s="38"/>
      <c r="AA567" s="31"/>
      <c r="AB567" s="5"/>
      <c r="AC567" s="5"/>
      <c r="AD567" s="5"/>
      <c r="AE567" s="169"/>
      <c r="AF567" s="5"/>
      <c r="AG567" s="5"/>
      <c r="AH567" s="5"/>
      <c r="AI567" s="5"/>
      <c r="AJ567" s="5"/>
      <c r="AK567" s="5"/>
      <c r="AL567" s="5"/>
      <c r="AM567" s="5"/>
      <c r="AN567" s="5"/>
      <c r="AO567" s="5"/>
      <c r="AP567" s="5"/>
      <c r="AQ567" s="5"/>
      <c r="AR567" s="5"/>
      <c r="AS567" s="30"/>
      <c r="AT567" s="37"/>
      <c r="AU567" s="37"/>
      <c r="AV567" s="37"/>
      <c r="AW567" s="37"/>
      <c r="AX567" s="37"/>
      <c r="AY567" s="38"/>
      <c r="AZ567" s="38"/>
      <c r="BA567" s="38"/>
      <c r="BB567" s="46"/>
      <c r="BC567" s="37"/>
      <c r="BD567" s="37"/>
      <c r="BE567" s="5"/>
      <c r="BF567" s="5"/>
      <c r="BG567" s="31"/>
      <c r="BH567" s="31"/>
      <c r="BI567" s="31"/>
      <c r="BJ567" s="48"/>
      <c r="BK567" s="49"/>
    </row>
    <row x14ac:dyDescent="0.25" r="568" customHeight="1" ht="31.5">
      <c r="A568" s="229"/>
      <c r="B568" s="277"/>
      <c r="C568" s="31"/>
      <c r="D568" s="31"/>
      <c r="E568" s="5"/>
      <c r="F568" s="5"/>
      <c r="G568" s="5"/>
      <c r="H568" s="31"/>
      <c r="I568" s="31"/>
      <c r="J568" s="31"/>
      <c r="K568" s="5"/>
      <c r="L568" s="5"/>
      <c r="M568" s="5"/>
      <c r="N568" s="5"/>
      <c r="O568" s="33"/>
      <c r="P568" s="5"/>
      <c r="Q568" s="5"/>
      <c r="R568" s="31"/>
      <c r="S568" s="31"/>
      <c r="T568" s="31"/>
      <c r="U568" s="31"/>
      <c r="V568" s="5"/>
      <c r="W568" s="134"/>
      <c r="X568" s="41"/>
      <c r="Y568" s="42"/>
      <c r="Z568" s="38"/>
      <c r="AA568" s="31"/>
      <c r="AB568" s="5"/>
      <c r="AC568" s="5"/>
      <c r="AD568" s="5"/>
      <c r="AE568" s="169"/>
      <c r="AF568" s="5"/>
      <c r="AG568" s="5"/>
      <c r="AH568" s="5"/>
      <c r="AI568" s="5"/>
      <c r="AJ568" s="5"/>
      <c r="AK568" s="5"/>
      <c r="AL568" s="5"/>
      <c r="AM568" s="5"/>
      <c r="AN568" s="5"/>
      <c r="AO568" s="5"/>
      <c r="AP568" s="5"/>
      <c r="AQ568" s="5"/>
      <c r="AR568" s="5"/>
      <c r="AS568" s="30"/>
      <c r="AT568" s="37"/>
      <c r="AU568" s="37"/>
      <c r="AV568" s="37"/>
      <c r="AW568" s="37"/>
      <c r="AX568" s="37"/>
      <c r="AY568" s="38"/>
      <c r="AZ568" s="38"/>
      <c r="BA568" s="38"/>
      <c r="BB568" s="46"/>
      <c r="BC568" s="37"/>
      <c r="BD568" s="37"/>
      <c r="BE568" s="5"/>
      <c r="BF568" s="5"/>
      <c r="BG568" s="31"/>
      <c r="BH568" s="31"/>
      <c r="BI568" s="31"/>
      <c r="BJ568" s="48"/>
      <c r="BK568" s="49"/>
    </row>
    <row x14ac:dyDescent="0.25" r="569" customHeight="1" ht="31.5">
      <c r="A569" s="229"/>
      <c r="B569" s="277"/>
      <c r="C569" s="31"/>
      <c r="D569" s="31"/>
      <c r="E569" s="5"/>
      <c r="F569" s="5"/>
      <c r="G569" s="5"/>
      <c r="H569" s="31"/>
      <c r="I569" s="31"/>
      <c r="J569" s="31"/>
      <c r="K569" s="5"/>
      <c r="L569" s="5"/>
      <c r="M569" s="5"/>
      <c r="N569" s="5"/>
      <c r="O569" s="33"/>
      <c r="P569" s="5"/>
      <c r="Q569" s="5"/>
      <c r="R569" s="31"/>
      <c r="S569" s="31"/>
      <c r="T569" s="31"/>
      <c r="U569" s="31"/>
      <c r="V569" s="5"/>
      <c r="W569" s="134"/>
      <c r="X569" s="41"/>
      <c r="Y569" s="42"/>
      <c r="Z569" s="38"/>
      <c r="AA569" s="31"/>
      <c r="AB569" s="5"/>
      <c r="AC569" s="5"/>
      <c r="AD569" s="5"/>
      <c r="AE569" s="169"/>
      <c r="AF569" s="5"/>
      <c r="AG569" s="5"/>
      <c r="AH569" s="5"/>
      <c r="AI569" s="5"/>
      <c r="AJ569" s="5"/>
      <c r="AK569" s="5"/>
      <c r="AL569" s="5"/>
      <c r="AM569" s="5"/>
      <c r="AN569" s="5"/>
      <c r="AO569" s="5"/>
      <c r="AP569" s="5"/>
      <c r="AQ569" s="5"/>
      <c r="AR569" s="5"/>
      <c r="AS569" s="30"/>
      <c r="AT569" s="37"/>
      <c r="AU569" s="37"/>
      <c r="AV569" s="37"/>
      <c r="AW569" s="37"/>
      <c r="AX569" s="37"/>
      <c r="AY569" s="38"/>
      <c r="AZ569" s="38"/>
      <c r="BA569" s="38"/>
      <c r="BB569" s="46"/>
      <c r="BC569" s="37"/>
      <c r="BD569" s="37"/>
      <c r="BE569" s="5"/>
      <c r="BF569" s="5"/>
      <c r="BG569" s="31"/>
      <c r="BH569" s="31"/>
      <c r="BI569" s="31"/>
      <c r="BJ569" s="48"/>
      <c r="BK569" s="49"/>
    </row>
    <row x14ac:dyDescent="0.25" r="570" customHeight="1" ht="31.5">
      <c r="A570" s="229"/>
      <c r="B570" s="277"/>
      <c r="C570" s="31"/>
      <c r="D570" s="31"/>
      <c r="E570" s="5"/>
      <c r="F570" s="5"/>
      <c r="G570" s="5"/>
      <c r="H570" s="31"/>
      <c r="I570" s="31"/>
      <c r="J570" s="31"/>
      <c r="K570" s="5"/>
      <c r="L570" s="5"/>
      <c r="M570" s="5"/>
      <c r="N570" s="5"/>
      <c r="O570" s="33"/>
      <c r="P570" s="5"/>
      <c r="Q570" s="5"/>
      <c r="R570" s="31"/>
      <c r="S570" s="31"/>
      <c r="T570" s="31"/>
      <c r="U570" s="31"/>
      <c r="V570" s="5"/>
      <c r="W570" s="134"/>
      <c r="X570" s="41"/>
      <c r="Y570" s="42"/>
      <c r="Z570" s="38"/>
      <c r="AA570" s="31"/>
      <c r="AB570" s="5"/>
      <c r="AC570" s="5"/>
      <c r="AD570" s="5"/>
      <c r="AE570" s="169"/>
      <c r="AF570" s="5"/>
      <c r="AG570" s="5"/>
      <c r="AH570" s="5"/>
      <c r="AI570" s="5"/>
      <c r="AJ570" s="5"/>
      <c r="AK570" s="5"/>
      <c r="AL570" s="5"/>
      <c r="AM570" s="5"/>
      <c r="AN570" s="5"/>
      <c r="AO570" s="5"/>
      <c r="AP570" s="5"/>
      <c r="AQ570" s="5"/>
      <c r="AR570" s="5"/>
      <c r="AS570" s="30"/>
      <c r="AT570" s="37"/>
      <c r="AU570" s="37"/>
      <c r="AV570" s="37"/>
      <c r="AW570" s="37"/>
      <c r="AX570" s="37"/>
      <c r="AY570" s="38"/>
      <c r="AZ570" s="38"/>
      <c r="BA570" s="38"/>
      <c r="BB570" s="46"/>
      <c r="BC570" s="37"/>
      <c r="BD570" s="37"/>
      <c r="BE570" s="5"/>
      <c r="BF570" s="5"/>
      <c r="BG570" s="31"/>
      <c r="BH570" s="31"/>
      <c r="BI570" s="31"/>
      <c r="BJ570" s="48"/>
      <c r="BK570" s="49"/>
    </row>
    <row x14ac:dyDescent="0.25" r="571" customHeight="1" ht="31.5">
      <c r="A571" s="229"/>
      <c r="B571" s="277"/>
      <c r="C571" s="31"/>
      <c r="D571" s="31"/>
      <c r="E571" s="5"/>
      <c r="F571" s="5"/>
      <c r="G571" s="5"/>
      <c r="H571" s="31"/>
      <c r="I571" s="31"/>
      <c r="J571" s="31"/>
      <c r="K571" s="5"/>
      <c r="L571" s="5"/>
      <c r="M571" s="5"/>
      <c r="N571" s="5"/>
      <c r="O571" s="33"/>
      <c r="P571" s="5"/>
      <c r="Q571" s="5"/>
      <c r="R571" s="31"/>
      <c r="S571" s="31"/>
      <c r="T571" s="31"/>
      <c r="U571" s="31"/>
      <c r="V571" s="5"/>
      <c r="W571" s="134"/>
      <c r="X571" s="41"/>
      <c r="Y571" s="42"/>
      <c r="Z571" s="38"/>
      <c r="AA571" s="31"/>
      <c r="AB571" s="5"/>
      <c r="AC571" s="5"/>
      <c r="AD571" s="5"/>
      <c r="AE571" s="169"/>
      <c r="AF571" s="5"/>
      <c r="AG571" s="5"/>
      <c r="AH571" s="5"/>
      <c r="AI571" s="5"/>
      <c r="AJ571" s="5"/>
      <c r="AK571" s="5"/>
      <c r="AL571" s="5"/>
      <c r="AM571" s="5"/>
      <c r="AN571" s="5"/>
      <c r="AO571" s="5"/>
      <c r="AP571" s="5"/>
      <c r="AQ571" s="5"/>
      <c r="AR571" s="5"/>
      <c r="AS571" s="30"/>
      <c r="AT571" s="37"/>
      <c r="AU571" s="37"/>
      <c r="AV571" s="37"/>
      <c r="AW571" s="37"/>
      <c r="AX571" s="37"/>
      <c r="AY571" s="38"/>
      <c r="AZ571" s="38"/>
      <c r="BA571" s="38"/>
      <c r="BB571" s="46"/>
      <c r="BC571" s="37"/>
      <c r="BD571" s="37"/>
      <c r="BE571" s="5"/>
      <c r="BF571" s="5"/>
      <c r="BG571" s="31"/>
      <c r="BH571" s="31"/>
      <c r="BI571" s="31"/>
      <c r="BJ571" s="48"/>
      <c r="BK571" s="49"/>
    </row>
    <row x14ac:dyDescent="0.25" r="572" customHeight="1" ht="31.5">
      <c r="A572" s="229"/>
      <c r="B572" s="277"/>
      <c r="C572" s="31"/>
      <c r="D572" s="31"/>
      <c r="E572" s="5"/>
      <c r="F572" s="5"/>
      <c r="G572" s="5"/>
      <c r="H572" s="31"/>
      <c r="I572" s="31"/>
      <c r="J572" s="31"/>
      <c r="K572" s="5"/>
      <c r="L572" s="5"/>
      <c r="M572" s="5"/>
      <c r="N572" s="5"/>
      <c r="O572" s="33"/>
      <c r="P572" s="5"/>
      <c r="Q572" s="5"/>
      <c r="R572" s="31"/>
      <c r="S572" s="31"/>
      <c r="T572" s="31"/>
      <c r="U572" s="31"/>
      <c r="V572" s="5"/>
      <c r="W572" s="134"/>
      <c r="X572" s="41"/>
      <c r="Y572" s="42"/>
      <c r="Z572" s="38"/>
      <c r="AA572" s="31"/>
      <c r="AB572" s="5"/>
      <c r="AC572" s="5"/>
      <c r="AD572" s="5"/>
      <c r="AE572" s="169"/>
      <c r="AF572" s="5"/>
      <c r="AG572" s="5"/>
      <c r="AH572" s="5"/>
      <c r="AI572" s="5"/>
      <c r="AJ572" s="5"/>
      <c r="AK572" s="5"/>
      <c r="AL572" s="5"/>
      <c r="AM572" s="5"/>
      <c r="AN572" s="5"/>
      <c r="AO572" s="5"/>
      <c r="AP572" s="5"/>
      <c r="AQ572" s="5"/>
      <c r="AR572" s="5"/>
      <c r="AS572" s="30"/>
      <c r="AT572" s="37"/>
      <c r="AU572" s="37"/>
      <c r="AV572" s="37"/>
      <c r="AW572" s="37"/>
      <c r="AX572" s="37"/>
      <c r="AY572" s="38"/>
      <c r="AZ572" s="38"/>
      <c r="BA572" s="38"/>
      <c r="BB572" s="46"/>
      <c r="BC572" s="37"/>
      <c r="BD572" s="37"/>
      <c r="BE572" s="5"/>
      <c r="BF572" s="5"/>
      <c r="BG572" s="31"/>
      <c r="BH572" s="31"/>
      <c r="BI572" s="31"/>
      <c r="BJ572" s="48"/>
      <c r="BK572" s="49"/>
    </row>
    <row x14ac:dyDescent="0.25" r="573" customHeight="1" ht="31.5">
      <c r="A573" s="229"/>
      <c r="B573" s="277"/>
      <c r="C573" s="31"/>
      <c r="D573" s="31"/>
      <c r="E573" s="5"/>
      <c r="F573" s="5"/>
      <c r="G573" s="5"/>
      <c r="H573" s="31"/>
      <c r="I573" s="31"/>
      <c r="J573" s="31"/>
      <c r="K573" s="5"/>
      <c r="L573" s="5"/>
      <c r="M573" s="5"/>
      <c r="N573" s="5"/>
      <c r="O573" s="33"/>
      <c r="P573" s="5"/>
      <c r="Q573" s="5"/>
      <c r="R573" s="31"/>
      <c r="S573" s="31"/>
      <c r="T573" s="31"/>
      <c r="U573" s="31"/>
      <c r="V573" s="5"/>
      <c r="W573" s="134"/>
      <c r="X573" s="41"/>
      <c r="Y573" s="42"/>
      <c r="Z573" s="38"/>
      <c r="AA573" s="31"/>
      <c r="AB573" s="5"/>
      <c r="AC573" s="5"/>
      <c r="AD573" s="5"/>
      <c r="AE573" s="169"/>
      <c r="AF573" s="5"/>
      <c r="AG573" s="5"/>
      <c r="AH573" s="5"/>
      <c r="AI573" s="5"/>
      <c r="AJ573" s="5"/>
      <c r="AK573" s="5"/>
      <c r="AL573" s="5"/>
      <c r="AM573" s="5"/>
      <c r="AN573" s="5"/>
      <c r="AO573" s="5"/>
      <c r="AP573" s="5"/>
      <c r="AQ573" s="5"/>
      <c r="AR573" s="5"/>
      <c r="AS573" s="30"/>
      <c r="AT573" s="37"/>
      <c r="AU573" s="37"/>
      <c r="AV573" s="37"/>
      <c r="AW573" s="37"/>
      <c r="AX573" s="37"/>
      <c r="AY573" s="38"/>
      <c r="AZ573" s="38"/>
      <c r="BA573" s="38"/>
      <c r="BB573" s="46"/>
      <c r="BC573" s="37"/>
      <c r="BD573" s="37"/>
      <c r="BE573" s="5"/>
      <c r="BF573" s="5"/>
      <c r="BG573" s="31"/>
      <c r="BH573" s="31"/>
      <c r="BI573" s="31"/>
      <c r="BJ573" s="48"/>
      <c r="BK573" s="49"/>
    </row>
    <row x14ac:dyDescent="0.25" r="574" customHeight="1" ht="31.5">
      <c r="A574" s="229"/>
      <c r="B574" s="277"/>
      <c r="C574" s="31"/>
      <c r="D574" s="31"/>
      <c r="E574" s="5"/>
      <c r="F574" s="5"/>
      <c r="G574" s="5"/>
      <c r="H574" s="31"/>
      <c r="I574" s="31"/>
      <c r="J574" s="31"/>
      <c r="K574" s="5"/>
      <c r="L574" s="5"/>
      <c r="M574" s="5"/>
      <c r="N574" s="5"/>
      <c r="O574" s="33"/>
      <c r="P574" s="5"/>
      <c r="Q574" s="5"/>
      <c r="R574" s="31"/>
      <c r="S574" s="31"/>
      <c r="T574" s="31"/>
      <c r="U574" s="31"/>
      <c r="V574" s="5"/>
      <c r="W574" s="134"/>
      <c r="X574" s="41"/>
      <c r="Y574" s="42"/>
      <c r="Z574" s="38"/>
      <c r="AA574" s="31"/>
      <c r="AB574" s="5"/>
      <c r="AC574" s="5"/>
      <c r="AD574" s="5"/>
      <c r="AE574" s="169"/>
      <c r="AF574" s="5"/>
      <c r="AG574" s="5"/>
      <c r="AH574" s="5"/>
      <c r="AI574" s="5"/>
      <c r="AJ574" s="5"/>
      <c r="AK574" s="5"/>
      <c r="AL574" s="5"/>
      <c r="AM574" s="5"/>
      <c r="AN574" s="5"/>
      <c r="AO574" s="5"/>
      <c r="AP574" s="5"/>
      <c r="AQ574" s="5"/>
      <c r="AR574" s="5"/>
      <c r="AS574" s="30"/>
      <c r="AT574" s="37"/>
      <c r="AU574" s="37"/>
      <c r="AV574" s="37"/>
      <c r="AW574" s="37"/>
      <c r="AX574" s="37"/>
      <c r="AY574" s="38"/>
      <c r="AZ574" s="38"/>
      <c r="BA574" s="38"/>
      <c r="BB574" s="46"/>
      <c r="BC574" s="37"/>
      <c r="BD574" s="37"/>
      <c r="BE574" s="5"/>
      <c r="BF574" s="5"/>
      <c r="BG574" s="31"/>
      <c r="BH574" s="31"/>
      <c r="BI574" s="31"/>
      <c r="BJ574" s="48"/>
      <c r="BK574" s="4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6" width="60.14785714285715" customWidth="1" bestFit="1"/>
    <col min="2" max="2" style="7" width="33.71928571428572" customWidth="1" bestFit="1"/>
    <col min="3" max="3" style="7" width="12.719285714285713" customWidth="1" bestFit="1"/>
    <col min="4" max="4" style="7" width="13.005" customWidth="1" bestFit="1"/>
  </cols>
  <sheetData>
    <row x14ac:dyDescent="0.25" r="1" customHeight="1" ht="36" customFormat="1" s="8">
      <c r="A1" s="9" t="s">
        <v>143</v>
      </c>
      <c r="B1" s="10"/>
      <c r="C1" s="10"/>
      <c r="D1" s="10"/>
    </row>
    <row x14ac:dyDescent="0.25" r="2" customHeight="1" ht="15.75">
      <c r="A2" s="11" t="s">
        <v>144</v>
      </c>
      <c r="B2" s="3"/>
      <c r="C2" s="3"/>
      <c r="D2" s="3"/>
    </row>
    <row x14ac:dyDescent="0.25" r="3" customHeight="1" ht="15.75">
      <c r="A3" s="11" t="s">
        <v>145</v>
      </c>
      <c r="B3" s="3"/>
      <c r="C3" s="3"/>
      <c r="D3" s="3"/>
    </row>
    <row x14ac:dyDescent="0.25" r="4" customHeight="1" ht="16.5">
      <c r="A4" s="11" t="s">
        <v>146</v>
      </c>
      <c r="B4" s="3"/>
      <c r="C4" s="3"/>
      <c r="D4" s="3"/>
    </row>
    <row x14ac:dyDescent="0.25" r="5" customHeight="1" ht="16.5">
      <c r="A5" s="11" t="s">
        <v>147</v>
      </c>
      <c r="B5" s="3"/>
      <c r="C5" s="3"/>
      <c r="D5" s="3"/>
    </row>
    <row x14ac:dyDescent="0.25" r="6" customHeight="1" ht="16.5">
      <c r="A6" s="11" t="s">
        <v>148</v>
      </c>
      <c r="B6" s="3"/>
      <c r="C6" s="3"/>
      <c r="D6" s="3"/>
    </row>
    <row x14ac:dyDescent="0.25" r="7" customHeight="1" ht="16.5">
      <c r="A7" s="11" t="s">
        <v>149</v>
      </c>
      <c r="B7" s="3"/>
      <c r="C7" s="3"/>
      <c r="D7" s="3"/>
    </row>
    <row x14ac:dyDescent="0.25" r="8" customHeight="1" ht="16.5">
      <c r="A8" s="11" t="s">
        <v>150</v>
      </c>
      <c r="B8" s="3"/>
      <c r="C8" s="3"/>
      <c r="D8" s="3"/>
    </row>
    <row x14ac:dyDescent="0.25" r="9" customHeight="1" ht="16.5">
      <c r="A9" s="11" t="s">
        <v>151</v>
      </c>
      <c r="B9" s="3"/>
      <c r="C9" s="3"/>
      <c r="D9" s="3"/>
    </row>
    <row x14ac:dyDescent="0.25" r="10" customHeight="1" ht="16.5">
      <c r="A10" s="11" t="s">
        <v>152</v>
      </c>
      <c r="B10" s="3"/>
      <c r="C10" s="3"/>
      <c r="D10" s="3"/>
    </row>
    <row x14ac:dyDescent="0.25" r="11" customHeight="1" ht="16.5">
      <c r="A11" s="11" t="s">
        <v>153</v>
      </c>
      <c r="B11" s="3"/>
      <c r="C11" s="3"/>
      <c r="D11" s="3"/>
    </row>
    <row x14ac:dyDescent="0.25" r="12" customHeight="1" ht="16.5">
      <c r="A12" s="11" t="s">
        <v>154</v>
      </c>
      <c r="B12" s="3"/>
      <c r="C12" s="3"/>
      <c r="D12" s="3"/>
    </row>
    <row x14ac:dyDescent="0.25" r="13" customHeight="1" ht="16.5">
      <c r="A13" s="11" t="s">
        <v>155</v>
      </c>
      <c r="B13" s="3"/>
      <c r="C13" s="3"/>
      <c r="D13" s="3"/>
    </row>
    <row x14ac:dyDescent="0.25" r="14" customHeight="1" ht="16.5">
      <c r="A14" s="11" t="s">
        <v>156</v>
      </c>
      <c r="B14" s="3"/>
      <c r="C14" s="3"/>
      <c r="D14" s="3"/>
    </row>
    <row x14ac:dyDescent="0.25" r="15" customHeight="1" ht="16.5">
      <c r="A15" s="11" t="s">
        <v>157</v>
      </c>
      <c r="B15" s="3"/>
      <c r="C15" s="3"/>
      <c r="D15" s="3"/>
    </row>
    <row x14ac:dyDescent="0.25" r="16" customHeight="1" ht="16.5">
      <c r="A16" s="11" t="s">
        <v>158</v>
      </c>
      <c r="B16" s="3"/>
      <c r="C16" s="3"/>
      <c r="D16" s="3"/>
    </row>
    <row x14ac:dyDescent="0.25" r="17" customHeight="1" ht="16.5">
      <c r="A17" s="11" t="s">
        <v>159</v>
      </c>
      <c r="B17" s="3"/>
      <c r="C17" s="3"/>
      <c r="D17" s="3"/>
    </row>
    <row x14ac:dyDescent="0.25" r="18" customHeight="1" ht="16.5">
      <c r="A18" s="11" t="s">
        <v>160</v>
      </c>
      <c r="B18" s="3"/>
      <c r="C18" s="3"/>
      <c r="D18" s="3"/>
    </row>
    <row x14ac:dyDescent="0.25" r="19" customHeight="1" ht="16.5">
      <c r="A19" s="11" t="s">
        <v>161</v>
      </c>
      <c r="B19" s="3"/>
      <c r="C19" s="3"/>
      <c r="D19" s="3"/>
    </row>
    <row x14ac:dyDescent="0.25" r="20" customHeight="1" ht="16.5">
      <c r="A20" s="11" t="s">
        <v>162</v>
      </c>
      <c r="B20" s="3"/>
      <c r="C20" s="3"/>
      <c r="D20" s="3"/>
    </row>
    <row x14ac:dyDescent="0.25" r="21" customHeight="1" ht="16.5">
      <c r="A21" s="11" t="s">
        <v>163</v>
      </c>
      <c r="B21" s="3"/>
      <c r="C21" s="3"/>
      <c r="D21" s="3"/>
    </row>
    <row x14ac:dyDescent="0.25" r="22" customHeight="1" ht="16.5">
      <c r="A22" s="12" t="s">
        <v>164</v>
      </c>
      <c r="B22" s="3"/>
      <c r="C22" s="3"/>
      <c r="D22" s="3"/>
    </row>
    <row x14ac:dyDescent="0.25" r="23" customHeight="1" ht="16.5">
      <c r="A23" s="2"/>
      <c r="B23" s="3"/>
      <c r="C23" s="3"/>
      <c r="D23" s="3"/>
    </row>
    <row x14ac:dyDescent="0.25" r="24" customHeight="1" ht="16.5">
      <c r="A24" s="2"/>
      <c r="B24" s="3"/>
      <c r="C24" s="3"/>
      <c r="D24" s="3"/>
    </row>
    <row x14ac:dyDescent="0.25" r="25" customHeight="1" ht="16.5">
      <c r="A25" s="2"/>
      <c r="B25" s="3"/>
      <c r="C25" s="3"/>
      <c r="D25" s="3"/>
    </row>
    <row x14ac:dyDescent="0.25" r="26" customHeight="1" ht="16.5">
      <c r="A26" s="2"/>
      <c r="B26" s="3"/>
      <c r="C26" s="3"/>
      <c r="D26" s="3"/>
    </row>
    <row x14ac:dyDescent="0.25" r="27" customHeight="1" ht="16.5">
      <c r="A27" s="2"/>
      <c r="B27" s="3"/>
      <c r="C27" s="3"/>
      <c r="D27" s="3"/>
    </row>
    <row x14ac:dyDescent="0.25" r="28" customHeight="1" ht="16.5">
      <c r="A28" s="2"/>
      <c r="B28" s="3"/>
      <c r="C28" s="3"/>
      <c r="D28" s="3"/>
    </row>
    <row x14ac:dyDescent="0.25" r="29" customHeight="1" ht="16.5">
      <c r="A29" s="2"/>
      <c r="B29" s="3"/>
      <c r="C29" s="3"/>
      <c r="D29" s="3"/>
    </row>
    <row x14ac:dyDescent="0.25" r="30" customHeight="1" ht="16.5">
      <c r="A30" s="2"/>
      <c r="B30" s="3"/>
      <c r="C30" s="3"/>
      <c r="D30" s="3"/>
    </row>
    <row x14ac:dyDescent="0.25" r="31" customHeight="1" ht="16.5">
      <c r="A31" s="2"/>
      <c r="B31" s="3"/>
      <c r="C31" s="3"/>
      <c r="D31" s="3"/>
    </row>
    <row x14ac:dyDescent="0.25" r="32" customHeight="1" ht="16.5">
      <c r="A32" s="2"/>
      <c r="B32" s="3"/>
      <c r="C32" s="3"/>
      <c r="D32" s="3"/>
    </row>
    <row x14ac:dyDescent="0.25" r="33" customHeight="1" ht="16.5">
      <c r="A33" s="2"/>
      <c r="B33" s="3"/>
      <c r="C33" s="3"/>
      <c r="D33" s="3"/>
    </row>
    <row x14ac:dyDescent="0.25" r="34" customHeight="1" ht="16.5">
      <c r="A34" s="2"/>
      <c r="B34" s="3"/>
      <c r="C34" s="3"/>
      <c r="D34" s="3"/>
    </row>
    <row x14ac:dyDescent="0.25" r="35" customHeight="1" ht="16.5">
      <c r="A35" s="2"/>
      <c r="B35" s="3"/>
      <c r="C35" s="3"/>
      <c r="D35" s="3"/>
    </row>
    <row x14ac:dyDescent="0.25" r="36" customHeight="1" ht="16.5">
      <c r="A36" s="2"/>
      <c r="B36" s="3"/>
      <c r="C36" s="3"/>
      <c r="D36" s="3"/>
    </row>
    <row x14ac:dyDescent="0.25" r="37" customHeight="1" ht="16.5">
      <c r="A37" s="2"/>
      <c r="B37" s="3"/>
      <c r="C37" s="3"/>
      <c r="D37" s="3"/>
    </row>
    <row x14ac:dyDescent="0.25" r="38" customHeight="1" ht="16.5">
      <c r="A38" s="2"/>
      <c r="B38" s="3"/>
      <c r="C38" s="3"/>
      <c r="D38" s="3"/>
    </row>
    <row x14ac:dyDescent="0.25" r="39" customHeight="1" ht="16.5">
      <c r="A39" s="2"/>
      <c r="B39" s="3"/>
      <c r="C39" s="3"/>
      <c r="D39" s="3"/>
    </row>
    <row x14ac:dyDescent="0.25" r="40" customHeight="1" ht="16.5">
      <c r="A40" s="2"/>
      <c r="B40" s="3"/>
      <c r="C40" s="3"/>
      <c r="D40" s="3"/>
    </row>
    <row x14ac:dyDescent="0.25" r="41" customHeight="1" ht="16.5">
      <c r="A41" s="2"/>
      <c r="B41" s="3"/>
      <c r="C41" s="3"/>
      <c r="D41" s="3"/>
    </row>
    <row x14ac:dyDescent="0.25" r="42" customHeight="1" ht="16.5">
      <c r="A42" s="2"/>
      <c r="B42" s="3"/>
      <c r="C42" s="3"/>
      <c r="D42" s="3"/>
    </row>
    <row x14ac:dyDescent="0.25" r="43" customHeight="1" ht="16.5">
      <c r="A43" s="2"/>
      <c r="B43" s="3"/>
      <c r="C43" s="3"/>
      <c r="D43" s="3"/>
    </row>
    <row x14ac:dyDescent="0.25" r="44" customHeight="1" ht="16.5">
      <c r="A44" s="2"/>
      <c r="B44" s="3"/>
      <c r="C44" s="3"/>
      <c r="D44" s="3"/>
    </row>
    <row x14ac:dyDescent="0.25" r="45" customHeight="1" ht="16.5">
      <c r="A45" s="2"/>
      <c r="B45" s="3"/>
      <c r="C45" s="3"/>
      <c r="D45" s="3"/>
    </row>
    <row x14ac:dyDescent="0.25" r="46" customHeight="1" ht="16.5">
      <c r="A46" s="2"/>
      <c r="B46" s="3"/>
      <c r="C46" s="3"/>
      <c r="D46" s="3"/>
    </row>
    <row x14ac:dyDescent="0.25" r="47" customHeight="1" ht="16.5">
      <c r="A47" s="2"/>
      <c r="B47" s="3"/>
      <c r="C47" s="3"/>
      <c r="D47" s="3"/>
    </row>
    <row x14ac:dyDescent="0.25" r="48" customHeight="1" ht="16.5">
      <c r="A48" s="2"/>
      <c r="B48" s="3"/>
      <c r="C48" s="3"/>
      <c r="D48" s="3"/>
    </row>
    <row x14ac:dyDescent="0.25" r="49" customHeight="1" ht="16.5">
      <c r="A49" s="2"/>
      <c r="B49" s="3"/>
      <c r="C49" s="3"/>
      <c r="D49" s="3"/>
    </row>
    <row x14ac:dyDescent="0.25" r="50" customHeight="1" ht="16.5">
      <c r="A50" s="2"/>
      <c r="B50" s="3"/>
      <c r="C50" s="3"/>
      <c r="D50" s="3"/>
    </row>
    <row x14ac:dyDescent="0.25" r="51" customHeight="1" ht="16.5">
      <c r="A51" s="2"/>
      <c r="B51" s="3"/>
      <c r="C51" s="3"/>
      <c r="D51" s="3"/>
    </row>
    <row x14ac:dyDescent="0.25" r="52" customHeight="1" ht="16.5">
      <c r="A52" s="2"/>
      <c r="B52" s="3"/>
      <c r="C52" s="3"/>
      <c r="D52" s="3"/>
    </row>
    <row x14ac:dyDescent="0.25" r="53" customHeight="1" ht="16.5">
      <c r="A53" s="2"/>
      <c r="B53" s="3"/>
      <c r="C53" s="3"/>
      <c r="D53" s="3"/>
    </row>
    <row x14ac:dyDescent="0.25" r="54" customHeight="1" ht="16.5">
      <c r="A54" s="2"/>
      <c r="B54" s="3"/>
      <c r="C54" s="3"/>
      <c r="D54" s="3"/>
    </row>
    <row x14ac:dyDescent="0.25" r="55" customHeight="1" ht="16.5">
      <c r="A55" s="2"/>
      <c r="B55" s="3"/>
      <c r="C55" s="3"/>
      <c r="D55" s="3"/>
    </row>
    <row x14ac:dyDescent="0.25" r="56" customHeight="1" ht="16.5">
      <c r="A56" s="2"/>
      <c r="B56" s="3"/>
      <c r="C56" s="3"/>
      <c r="D56" s="3"/>
    </row>
    <row x14ac:dyDescent="0.25" r="57" customHeight="1" ht="16.5">
      <c r="A57" s="2"/>
      <c r="B57" s="3"/>
      <c r="C57" s="3"/>
      <c r="D57" s="3"/>
    </row>
    <row x14ac:dyDescent="0.25" r="58" customHeight="1" ht="16.5">
      <c r="A58" s="2"/>
      <c r="B58" s="3"/>
      <c r="C58" s="3"/>
      <c r="D58" s="3"/>
    </row>
    <row x14ac:dyDescent="0.25" r="59" customHeight="1" ht="16.5">
      <c r="A59" s="2"/>
      <c r="B59" s="3"/>
      <c r="C59" s="3"/>
      <c r="D59" s="3"/>
    </row>
    <row x14ac:dyDescent="0.25" r="60" customHeight="1" ht="16.5">
      <c r="A60" s="2"/>
      <c r="B60" s="3"/>
      <c r="C60" s="3"/>
      <c r="D60" s="3"/>
    </row>
    <row x14ac:dyDescent="0.25" r="61" customHeight="1" ht="16.5">
      <c r="A61" s="2"/>
      <c r="B61" s="3"/>
      <c r="C61" s="3"/>
      <c r="D61" s="3"/>
    </row>
    <row x14ac:dyDescent="0.25" r="62" customHeight="1" ht="16.5">
      <c r="A62" s="2"/>
      <c r="B62" s="3"/>
      <c r="C62" s="3"/>
      <c r="D62" s="3"/>
    </row>
    <row x14ac:dyDescent="0.25" r="63" customHeight="1" ht="16.5">
      <c r="A63" s="2"/>
      <c r="B63" s="3"/>
      <c r="C63" s="3"/>
      <c r="D63" s="3"/>
    </row>
    <row x14ac:dyDescent="0.25" r="64" customHeight="1" ht="16.5">
      <c r="A64" s="2"/>
      <c r="B64" s="3"/>
      <c r="C64" s="3"/>
      <c r="D64" s="3"/>
    </row>
    <row x14ac:dyDescent="0.25" r="65" customHeight="1" ht="16.5">
      <c r="A65" s="2"/>
      <c r="B65" s="3"/>
      <c r="C65" s="3"/>
      <c r="D65" s="3"/>
    </row>
    <row x14ac:dyDescent="0.25" r="66" customHeight="1" ht="16.5">
      <c r="A66" s="2"/>
      <c r="B66" s="3"/>
      <c r="C66" s="3"/>
      <c r="D66" s="3"/>
    </row>
    <row x14ac:dyDescent="0.25" r="67" customHeight="1" ht="16.5">
      <c r="A67" s="2"/>
      <c r="B67" s="3"/>
      <c r="C67" s="3"/>
      <c r="D67" s="3"/>
    </row>
    <row x14ac:dyDescent="0.25" r="68" customHeight="1" ht="16.5">
      <c r="A68" s="2"/>
      <c r="B68" s="3"/>
      <c r="C68" s="3"/>
      <c r="D68" s="3"/>
    </row>
    <row x14ac:dyDescent="0.25" r="69" customHeight="1" ht="16.5">
      <c r="A69" s="2"/>
      <c r="B69" s="3"/>
      <c r="C69" s="3"/>
      <c r="D69" s="3"/>
    </row>
    <row x14ac:dyDescent="0.25" r="70" customHeight="1" ht="16.5">
      <c r="A70" s="2"/>
      <c r="B70" s="3"/>
      <c r="C70" s="3"/>
      <c r="D70" s="3"/>
    </row>
    <row x14ac:dyDescent="0.25" r="71" customHeight="1" ht="16.5">
      <c r="A71" s="2"/>
      <c r="B71" s="3"/>
      <c r="C71" s="3"/>
      <c r="D71" s="3"/>
    </row>
    <row x14ac:dyDescent="0.25" r="72" customHeight="1" ht="15.75">
      <c r="A72" s="2"/>
      <c r="B72" s="3"/>
      <c r="C72" s="3"/>
      <c r="D72" s="3"/>
    </row>
    <row x14ac:dyDescent="0.25" r="73" customHeight="1" ht="15.75">
      <c r="A73" s="2"/>
      <c r="B73" s="3"/>
      <c r="C73" s="3"/>
      <c r="D73" s="3"/>
    </row>
    <row x14ac:dyDescent="0.25" r="74" customHeight="1" ht="15.75">
      <c r="A74" s="2"/>
      <c r="B74" s="3"/>
      <c r="C74" s="3"/>
      <c r="D74" s="3"/>
    </row>
    <row x14ac:dyDescent="0.25" r="75" customHeight="1" ht="15.75">
      <c r="A75" s="2"/>
      <c r="B75" s="3"/>
      <c r="C75" s="3"/>
      <c r="D75" s="3"/>
    </row>
    <row x14ac:dyDescent="0.25" r="76" customHeight="1" ht="15.75">
      <c r="A76" s="2"/>
      <c r="B76" s="3"/>
      <c r="C76" s="3"/>
      <c r="D76" s="3"/>
    </row>
    <row x14ac:dyDescent="0.25" r="77" customHeight="1" ht="15.75">
      <c r="A77" s="2"/>
      <c r="B77" s="3"/>
      <c r="C77" s="3"/>
      <c r="D77" s="3"/>
    </row>
    <row x14ac:dyDescent="0.25" r="78" customHeight="1" ht="15.75">
      <c r="A78" s="2"/>
      <c r="B78" s="3"/>
      <c r="C78" s="3"/>
      <c r="D78" s="3"/>
    </row>
    <row x14ac:dyDescent="0.25" r="79" customHeight="1" ht="15.75">
      <c r="A79" s="2"/>
      <c r="B79" s="3"/>
      <c r="C79" s="3"/>
      <c r="D79" s="3"/>
    </row>
    <row x14ac:dyDescent="0.25" r="80" customHeight="1" ht="15.75">
      <c r="A80" s="2"/>
      <c r="B80" s="12"/>
      <c r="C80" s="12"/>
      <c r="D80" s="12"/>
    </row>
    <row x14ac:dyDescent="0.25" r="81" customHeight="1" ht="15.75">
      <c r="A81" s="2"/>
      <c r="B81" s="12"/>
      <c r="C81" s="12"/>
      <c r="D81" s="12"/>
    </row>
    <row x14ac:dyDescent="0.25" r="82" customHeight="1" ht="15.75">
      <c r="A82" s="2"/>
      <c r="B82" s="12"/>
      <c r="C82" s="12"/>
      <c r="D82" s="12"/>
    </row>
    <row x14ac:dyDescent="0.25" r="83" customHeight="1" ht="15.75">
      <c r="A83" s="2"/>
      <c r="B83" s="12"/>
      <c r="C83" s="12"/>
      <c r="D83" s="12"/>
    </row>
    <row x14ac:dyDescent="0.25" r="84" customHeight="1" ht="15.75">
      <c r="A84" s="2"/>
      <c r="B84" s="12"/>
      <c r="C84" s="12"/>
      <c r="D84" s="12"/>
    </row>
    <row x14ac:dyDescent="0.25" r="85" customHeight="1" ht="15.75">
      <c r="A85" s="2"/>
      <c r="B85" s="12"/>
      <c r="C85" s="12"/>
      <c r="D85" s="12"/>
    </row>
    <row x14ac:dyDescent="0.25" r="86" customHeight="1" ht="15.75">
      <c r="A86" s="2"/>
      <c r="B86" s="12"/>
      <c r="C86" s="12"/>
      <c r="D86" s="12"/>
    </row>
    <row x14ac:dyDescent="0.25" r="87" customHeight="1" ht="15.75">
      <c r="A87" s="2"/>
      <c r="B87" s="12"/>
      <c r="C87" s="12"/>
      <c r="D87" s="12"/>
    </row>
    <row x14ac:dyDescent="0.25" r="88" customHeight="1" ht="15.75">
      <c r="A88" s="2"/>
      <c r="B88" s="12"/>
      <c r="C88" s="12"/>
      <c r="D88" s="12"/>
    </row>
    <row x14ac:dyDescent="0.25" r="89" customHeight="1" ht="15.75">
      <c r="A89" s="2"/>
      <c r="B89" s="12"/>
      <c r="C89" s="12"/>
      <c r="D89" s="12"/>
    </row>
    <row x14ac:dyDescent="0.25" r="90" customHeight="1" ht="15.75">
      <c r="A90" s="2"/>
      <c r="B90" s="12"/>
      <c r="C90" s="12"/>
      <c r="D90" s="12"/>
    </row>
    <row x14ac:dyDescent="0.25" r="91" customHeight="1" ht="15.75">
      <c r="A91" s="2"/>
      <c r="B91" s="12"/>
      <c r="C91" s="12"/>
      <c r="D91" s="12"/>
    </row>
    <row x14ac:dyDescent="0.25" r="92" customHeight="1" ht="15.75">
      <c r="A92" s="2"/>
      <c r="B92" s="12"/>
      <c r="C92" s="12"/>
      <c r="D92" s="12"/>
    </row>
    <row x14ac:dyDescent="0.25" r="93" customHeight="1" ht="15.75">
      <c r="A93" s="2"/>
      <c r="B93" s="12"/>
      <c r="C93" s="12"/>
      <c r="D93" s="12"/>
    </row>
    <row x14ac:dyDescent="0.25" r="94" customHeight="1" ht="15.75">
      <c r="A94" s="2"/>
      <c r="B94" s="12"/>
      <c r="C94" s="12"/>
      <c r="D94" s="12"/>
    </row>
    <row x14ac:dyDescent="0.25" r="95" customHeight="1" ht="15.75">
      <c r="A95" s="2"/>
      <c r="B95" s="12"/>
      <c r="C95" s="12"/>
      <c r="D95" s="12"/>
    </row>
    <row x14ac:dyDescent="0.25" r="96" customHeight="1" ht="15.75">
      <c r="A96" s="2"/>
      <c r="B96" s="12"/>
      <c r="C96" s="12"/>
      <c r="D96" s="12"/>
    </row>
    <row x14ac:dyDescent="0.25" r="97" customHeight="1" ht="15.75">
      <c r="A97" s="2"/>
      <c r="B97" s="12"/>
      <c r="C97" s="12"/>
      <c r="D97" s="12"/>
    </row>
    <row x14ac:dyDescent="0.25" r="98" customHeight="1" ht="15.75">
      <c r="A98" s="2"/>
      <c r="B98" s="12"/>
      <c r="C98" s="12"/>
      <c r="D98" s="12"/>
    </row>
    <row x14ac:dyDescent="0.25" r="99" customHeight="1" ht="15.75">
      <c r="A99" s="2"/>
      <c r="B99" s="12"/>
      <c r="C99" s="12"/>
      <c r="D99" s="12"/>
    </row>
    <row x14ac:dyDescent="0.25" r="100" customHeight="1" ht="15.75">
      <c r="A100" s="2"/>
      <c r="B100" s="12"/>
      <c r="C100" s="12"/>
      <c r="D100" s="12"/>
    </row>
    <row x14ac:dyDescent="0.25" r="101" customHeight="1" ht="15.75">
      <c r="A101" s="2"/>
      <c r="B101" s="12"/>
      <c r="C101" s="12"/>
      <c r="D101" s="12"/>
    </row>
    <row x14ac:dyDescent="0.25" r="102" customHeight="1" ht="15.75">
      <c r="A102" s="2"/>
      <c r="B102" s="12"/>
      <c r="C102" s="12"/>
      <c r="D102" s="12"/>
    </row>
    <row x14ac:dyDescent="0.25" r="103" customHeight="1" ht="15.75">
      <c r="A103" s="2"/>
      <c r="B103" s="12"/>
      <c r="C103" s="12"/>
      <c r="D103" s="12"/>
    </row>
    <row x14ac:dyDescent="0.25" r="104" customHeight="1" ht="15.75">
      <c r="A104" s="2"/>
      <c r="B104" s="12"/>
      <c r="C104" s="12"/>
      <c r="D104" s="12"/>
    </row>
    <row x14ac:dyDescent="0.25" r="105" customHeight="1" ht="15.75">
      <c r="A105" s="2"/>
      <c r="B105" s="12"/>
      <c r="C105" s="12"/>
      <c r="D105" s="12"/>
    </row>
    <row x14ac:dyDescent="0.25" r="106" customHeight="1" ht="15.75">
      <c r="A106" s="2"/>
      <c r="B106" s="12"/>
      <c r="C106" s="12"/>
      <c r="D106" s="12"/>
    </row>
    <row x14ac:dyDescent="0.25" r="107" customHeight="1" ht="15.75">
      <c r="A107" s="2"/>
      <c r="B107" s="12"/>
      <c r="C107" s="12"/>
      <c r="D107" s="12"/>
    </row>
    <row x14ac:dyDescent="0.25" r="108" customHeight="1" ht="15.75">
      <c r="A108" s="2"/>
      <c r="B108" s="12"/>
      <c r="C108" s="12"/>
      <c r="D108" s="12"/>
    </row>
    <row x14ac:dyDescent="0.25" r="109" customHeight="1" ht="15.75">
      <c r="A109" s="2"/>
      <c r="B109" s="12"/>
      <c r="C109" s="12"/>
      <c r="D109" s="12"/>
    </row>
    <row x14ac:dyDescent="0.25" r="110" customHeight="1" ht="15.75">
      <c r="A110" s="2"/>
      <c r="B110" s="12"/>
      <c r="C110" s="12"/>
      <c r="D110" s="12"/>
    </row>
    <row x14ac:dyDescent="0.25" r="111" customHeight="1" ht="15.75">
      <c r="A111" s="2"/>
      <c r="B111" s="12"/>
      <c r="C111" s="12"/>
      <c r="D111" s="12"/>
    </row>
    <row x14ac:dyDescent="0.25" r="112" customHeight="1" ht="15.75">
      <c r="A112" s="2"/>
      <c r="B112" s="12"/>
      <c r="C112" s="12"/>
      <c r="D112" s="12"/>
    </row>
    <row x14ac:dyDescent="0.25" r="113" customHeight="1" ht="15.75">
      <c r="A113" s="2"/>
      <c r="B113" s="12"/>
      <c r="C113" s="12"/>
      <c r="D113" s="12"/>
    </row>
    <row x14ac:dyDescent="0.25" r="114" customHeight="1" ht="15.75">
      <c r="A114" s="2"/>
      <c r="B114" s="12"/>
      <c r="C114" s="12"/>
      <c r="D114" s="12"/>
    </row>
    <row x14ac:dyDescent="0.25" r="115" customHeight="1" ht="15.75">
      <c r="A115" s="2"/>
      <c r="B115" s="12"/>
      <c r="C115" s="12"/>
      <c r="D115" s="12"/>
    </row>
    <row x14ac:dyDescent="0.25" r="116" customHeight="1" ht="15.75">
      <c r="A116" s="2"/>
      <c r="B116" s="12"/>
      <c r="C116" s="12"/>
      <c r="D116" s="12"/>
    </row>
    <row x14ac:dyDescent="0.25" r="117" customHeight="1" ht="15.75">
      <c r="A117" s="2"/>
      <c r="B117" s="12"/>
      <c r="C117" s="12"/>
      <c r="D117" s="12"/>
    </row>
    <row x14ac:dyDescent="0.25" r="118" customHeight="1" ht="15.75">
      <c r="A118" s="2"/>
      <c r="B118" s="12"/>
      <c r="C118" s="12"/>
      <c r="D118" s="12"/>
    </row>
    <row x14ac:dyDescent="0.25" r="119" customHeight="1" ht="15.75">
      <c r="A119" s="2"/>
      <c r="B119" s="12"/>
      <c r="C119" s="12"/>
      <c r="D119" s="12"/>
    </row>
    <row x14ac:dyDescent="0.25" r="120" customHeight="1" ht="15.75">
      <c r="A120" s="2"/>
      <c r="B120" s="12"/>
      <c r="C120" s="12"/>
      <c r="D120" s="12"/>
    </row>
    <row x14ac:dyDescent="0.25" r="121" customHeight="1" ht="15.75">
      <c r="A121" s="2"/>
      <c r="B121" s="12"/>
      <c r="C121" s="12"/>
      <c r="D121" s="12"/>
    </row>
    <row x14ac:dyDescent="0.25" r="122" customHeight="1" ht="15.75">
      <c r="A122" s="2"/>
      <c r="B122" s="12"/>
      <c r="C122" s="12"/>
      <c r="D122" s="12"/>
    </row>
    <row x14ac:dyDescent="0.25" r="123" customHeight="1" ht="15.75">
      <c r="A123" s="2"/>
      <c r="B123" s="12"/>
      <c r="C123" s="12"/>
      <c r="D123" s="12"/>
    </row>
    <row x14ac:dyDescent="0.25" r="124" customHeight="1" ht="15.75">
      <c r="A124" s="2"/>
      <c r="B124" s="12"/>
      <c r="C124" s="12"/>
      <c r="D124" s="12"/>
    </row>
    <row x14ac:dyDescent="0.25" r="125" customHeight="1" ht="15.75">
      <c r="A125" s="2"/>
      <c r="B125" s="12"/>
      <c r="C125" s="12"/>
      <c r="D125" s="12"/>
    </row>
    <row x14ac:dyDescent="0.25" r="126" customHeight="1" ht="15.75">
      <c r="A126" s="2"/>
      <c r="B126" s="12"/>
      <c r="C126" s="12"/>
      <c r="D126" s="12"/>
    </row>
    <row x14ac:dyDescent="0.25" r="127" customHeight="1" ht="15.75">
      <c r="A127" s="2"/>
      <c r="B127" s="12"/>
      <c r="C127" s="12"/>
      <c r="D127" s="12"/>
    </row>
    <row x14ac:dyDescent="0.25" r="128" customHeight="1" ht="15.75">
      <c r="A128" s="2"/>
      <c r="B128" s="12"/>
      <c r="C128" s="12"/>
      <c r="D128" s="12"/>
    </row>
    <row x14ac:dyDescent="0.25" r="129" customHeight="1" ht="15.75">
      <c r="A129" s="2"/>
      <c r="B129" s="12"/>
      <c r="C129" s="12"/>
      <c r="D129" s="12"/>
    </row>
    <row x14ac:dyDescent="0.25" r="130" customHeight="1" ht="15.75">
      <c r="A130" s="2"/>
      <c r="B130" s="12"/>
      <c r="C130" s="12"/>
      <c r="D130" s="12"/>
    </row>
    <row x14ac:dyDescent="0.25" r="131" customHeight="1" ht="15.75">
      <c r="A131" s="2"/>
      <c r="B131" s="12"/>
      <c r="C131" s="12"/>
      <c r="D131" s="12"/>
    </row>
    <row x14ac:dyDescent="0.25" r="132" customHeight="1" ht="15.75">
      <c r="A132" s="2"/>
      <c r="B132" s="12"/>
      <c r="C132" s="12"/>
      <c r="D132" s="12"/>
    </row>
    <row x14ac:dyDescent="0.25" r="133" customHeight="1" ht="15.75">
      <c r="A133" s="2"/>
      <c r="B133" s="12"/>
      <c r="C133" s="12"/>
      <c r="D133" s="12"/>
    </row>
    <row x14ac:dyDescent="0.25" r="134" customHeight="1" ht="15.75">
      <c r="A134" s="2"/>
      <c r="B134" s="12"/>
      <c r="C134" s="12"/>
      <c r="D134" s="12"/>
    </row>
    <row x14ac:dyDescent="0.25" r="135" customHeight="1" ht="15.75">
      <c r="A135" s="2"/>
      <c r="B135" s="12"/>
      <c r="C135" s="12"/>
      <c r="D135" s="12"/>
    </row>
    <row x14ac:dyDescent="0.25" r="136" customHeight="1" ht="15.75">
      <c r="A136" s="2"/>
      <c r="B136" s="12"/>
      <c r="C136" s="12"/>
      <c r="D136" s="12"/>
    </row>
    <row x14ac:dyDescent="0.25" r="137" customHeight="1" ht="15.75">
      <c r="A137" s="2"/>
      <c r="B137" s="12"/>
      <c r="C137" s="12"/>
      <c r="D137" s="12"/>
    </row>
    <row x14ac:dyDescent="0.25" r="138" customHeight="1" ht="15.75">
      <c r="A138" s="2"/>
      <c r="B138" s="12"/>
      <c r="C138" s="12"/>
      <c r="D138" s="12"/>
    </row>
    <row x14ac:dyDescent="0.25" r="139" customHeight="1" ht="15.75">
      <c r="A139" s="2"/>
      <c r="B139" s="12"/>
      <c r="C139" s="12"/>
      <c r="D139" s="12"/>
    </row>
    <row x14ac:dyDescent="0.25" r="140" customHeight="1" ht="15.75">
      <c r="A140" s="2"/>
      <c r="B140" s="12"/>
      <c r="C140" s="12"/>
      <c r="D140" s="12"/>
    </row>
    <row x14ac:dyDescent="0.25" r="141" customHeight="1" ht="15.75">
      <c r="A141" s="2"/>
      <c r="B141" s="12"/>
      <c r="C141" s="12"/>
      <c r="D141" s="12"/>
    </row>
    <row x14ac:dyDescent="0.25" r="142" customHeight="1" ht="15.75">
      <c r="A142" s="2"/>
      <c r="B142" s="12"/>
      <c r="C142" s="12"/>
      <c r="D142" s="12"/>
    </row>
    <row x14ac:dyDescent="0.25" r="143" customHeight="1" ht="15.75">
      <c r="A143" s="2"/>
      <c r="B143" s="12"/>
      <c r="C143" s="12"/>
      <c r="D143" s="12"/>
    </row>
    <row x14ac:dyDescent="0.25" r="144" customHeight="1" ht="15.75">
      <c r="A144" s="2"/>
      <c r="B144" s="12"/>
      <c r="C144" s="12"/>
      <c r="D144" s="12"/>
    </row>
    <row x14ac:dyDescent="0.25" r="145" customHeight="1" ht="15.75">
      <c r="A145" s="2"/>
      <c r="B145" s="12"/>
      <c r="C145" s="12"/>
      <c r="D145" s="12"/>
    </row>
    <row x14ac:dyDescent="0.25" r="146" customHeight="1" ht="15.75">
      <c r="A146" s="2"/>
      <c r="B146" s="12"/>
      <c r="C146" s="12"/>
      <c r="D146" s="12"/>
    </row>
    <row x14ac:dyDescent="0.25" r="147" customHeight="1" ht="15.75">
      <c r="A147" s="2"/>
      <c r="B147" s="12"/>
      <c r="C147" s="12"/>
      <c r="D147" s="12"/>
    </row>
    <row x14ac:dyDescent="0.25" r="148" customHeight="1" ht="15.75">
      <c r="A148" s="2"/>
      <c r="B148" s="12"/>
      <c r="C148" s="12"/>
      <c r="D148" s="12"/>
    </row>
    <row x14ac:dyDescent="0.25" r="149" customHeight="1" ht="15.75">
      <c r="A149" s="2"/>
      <c r="B149" s="12"/>
      <c r="C149" s="12"/>
      <c r="D149" s="12"/>
    </row>
    <row x14ac:dyDescent="0.25" r="150" customHeight="1" ht="15.75">
      <c r="A150" s="2"/>
      <c r="B150" s="12"/>
      <c r="C150" s="12"/>
      <c r="D150" s="12"/>
    </row>
    <row x14ac:dyDescent="0.25" r="151" customHeight="1" ht="15.75">
      <c r="A151" s="2"/>
      <c r="B151" s="12"/>
      <c r="C151" s="12"/>
      <c r="D151" s="12"/>
    </row>
    <row x14ac:dyDescent="0.25" r="152" customHeight="1" ht="15.75">
      <c r="A152" s="2"/>
      <c r="B152" s="12"/>
      <c r="C152" s="12"/>
      <c r="D152" s="12"/>
    </row>
    <row x14ac:dyDescent="0.25" r="153" customHeight="1" ht="15.75">
      <c r="A153" s="2"/>
      <c r="B153" s="12"/>
      <c r="C153" s="12"/>
      <c r="D153" s="12"/>
    </row>
    <row x14ac:dyDescent="0.25" r="154" customHeight="1" ht="15.75">
      <c r="A154" s="2"/>
      <c r="B154" s="12"/>
      <c r="C154" s="12"/>
      <c r="D154" s="12"/>
    </row>
    <row x14ac:dyDescent="0.25" r="155" customHeight="1" ht="15.75">
      <c r="A155" s="2"/>
      <c r="B155" s="12"/>
      <c r="C155" s="12"/>
      <c r="D155" s="12"/>
    </row>
    <row x14ac:dyDescent="0.25" r="156" customHeight="1" ht="15.75">
      <c r="A156" s="2"/>
      <c r="B156" s="12"/>
      <c r="C156" s="12"/>
      <c r="D156" s="12"/>
    </row>
    <row x14ac:dyDescent="0.25" r="157" customHeight="1" ht="15.75">
      <c r="A157" s="2"/>
      <c r="B157" s="12"/>
      <c r="C157" s="12"/>
      <c r="D157" s="12"/>
    </row>
    <row x14ac:dyDescent="0.25" r="158" customHeight="1" ht="15.75">
      <c r="A158" s="2"/>
      <c r="B158" s="12"/>
      <c r="C158" s="12"/>
      <c r="D158" s="12"/>
    </row>
    <row x14ac:dyDescent="0.25" r="159" customHeight="1" ht="15.75">
      <c r="A159" s="2"/>
      <c r="B159" s="12"/>
      <c r="C159" s="12"/>
      <c r="D159" s="12"/>
    </row>
    <row x14ac:dyDescent="0.25" r="160" customHeight="1" ht="15.75">
      <c r="A160" s="2"/>
      <c r="B160" s="12"/>
      <c r="C160" s="12"/>
      <c r="D160" s="12"/>
    </row>
    <row x14ac:dyDescent="0.25" r="161" customHeight="1" ht="15.75">
      <c r="A161" s="2"/>
      <c r="B161" s="12"/>
      <c r="C161" s="12"/>
      <c r="D161" s="12"/>
    </row>
    <row x14ac:dyDescent="0.25" r="162" customHeight="1" ht="15.75">
      <c r="A162" s="2"/>
      <c r="B162" s="12"/>
      <c r="C162" s="12"/>
      <c r="D162" s="12"/>
    </row>
    <row x14ac:dyDescent="0.25" r="163" customHeight="1" ht="15.75">
      <c r="A163" s="2"/>
      <c r="B163" s="12"/>
      <c r="C163" s="12"/>
      <c r="D163" s="12"/>
    </row>
    <row x14ac:dyDescent="0.25" r="164" customHeight="1" ht="15.75">
      <c r="A164" s="2"/>
      <c r="B164" s="12"/>
      <c r="C164" s="12"/>
      <c r="D164" s="12"/>
    </row>
    <row x14ac:dyDescent="0.25" r="165" customHeight="1" ht="15.75">
      <c r="A165" s="2"/>
      <c r="B165" s="12"/>
      <c r="C165" s="12"/>
      <c r="D165" s="12"/>
    </row>
    <row x14ac:dyDescent="0.25" r="166" customHeight="1" ht="15.75">
      <c r="A166" s="2"/>
      <c r="B166" s="12"/>
      <c r="C166" s="12"/>
      <c r="D166" s="12"/>
    </row>
    <row x14ac:dyDescent="0.25" r="167" customHeight="1" ht="15.75">
      <c r="A167" s="2"/>
      <c r="B167" s="12"/>
      <c r="C167" s="12"/>
      <c r="D167" s="12"/>
    </row>
    <row x14ac:dyDescent="0.25" r="168" customHeight="1" ht="15.75">
      <c r="A168" s="2"/>
      <c r="B168" s="12"/>
      <c r="C168" s="12"/>
      <c r="D168" s="12"/>
    </row>
    <row x14ac:dyDescent="0.25" r="169" customHeight="1" ht="15.75">
      <c r="A169" s="2"/>
      <c r="B169" s="12"/>
      <c r="C169" s="12"/>
      <c r="D169" s="12"/>
    </row>
    <row x14ac:dyDescent="0.25" r="170" customHeight="1" ht="15.75">
      <c r="A170" s="2"/>
      <c r="B170" s="12"/>
      <c r="C170" s="12"/>
      <c r="D170" s="12"/>
    </row>
    <row x14ac:dyDescent="0.25" r="171" customHeight="1" ht="15.75">
      <c r="A171" s="2"/>
      <c r="B171" s="12"/>
      <c r="C171" s="12"/>
      <c r="D171" s="12"/>
    </row>
    <row x14ac:dyDescent="0.25" r="172" customHeight="1" ht="15.75">
      <c r="A172" s="2"/>
      <c r="B172" s="12"/>
      <c r="C172" s="12"/>
      <c r="D172" s="12"/>
    </row>
    <row x14ac:dyDescent="0.25" r="173" customHeight="1" ht="15.75">
      <c r="A173" s="2"/>
      <c r="B173" s="12"/>
      <c r="C173" s="12"/>
      <c r="D173" s="12"/>
    </row>
    <row x14ac:dyDescent="0.25" r="174" customHeight="1" ht="15.75">
      <c r="A174" s="2"/>
      <c r="B174" s="12"/>
      <c r="C174" s="12"/>
      <c r="D174" s="12"/>
    </row>
    <row x14ac:dyDescent="0.25" r="175" customHeight="1" ht="15.75">
      <c r="A175" s="2"/>
      <c r="B175" s="12"/>
      <c r="C175" s="12"/>
      <c r="D175" s="12"/>
    </row>
    <row x14ac:dyDescent="0.25" r="176" customHeight="1" ht="15.75">
      <c r="A176" s="2"/>
      <c r="B176" s="12"/>
      <c r="C176" s="12"/>
      <c r="D176" s="12"/>
    </row>
    <row x14ac:dyDescent="0.25" r="177" customHeight="1" ht="15.75">
      <c r="A177" s="2"/>
      <c r="B177" s="12"/>
      <c r="C177" s="12"/>
      <c r="D177" s="12"/>
    </row>
    <row x14ac:dyDescent="0.25" r="178" customHeight="1" ht="15.75">
      <c r="A178" s="2"/>
      <c r="B178" s="12"/>
      <c r="C178" s="12"/>
      <c r="D178" s="12"/>
    </row>
    <row x14ac:dyDescent="0.25" r="179" customHeight="1" ht="15.75">
      <c r="A179" s="2"/>
      <c r="B179" s="12"/>
      <c r="C179" s="12"/>
      <c r="D179" s="12"/>
    </row>
    <row x14ac:dyDescent="0.25" r="180" customHeight="1" ht="15.75">
      <c r="A180" s="2"/>
      <c r="B180" s="12"/>
      <c r="C180" s="12"/>
      <c r="D180" s="12"/>
    </row>
    <row x14ac:dyDescent="0.25" r="181" customHeight="1" ht="15.75">
      <c r="A181" s="2"/>
      <c r="B181" s="12"/>
      <c r="C181" s="12"/>
      <c r="D181" s="12"/>
    </row>
    <row x14ac:dyDescent="0.25" r="182" customHeight="1" ht="15.75">
      <c r="A182" s="2"/>
      <c r="B182" s="12"/>
      <c r="C182" s="12"/>
      <c r="D182" s="12"/>
    </row>
    <row x14ac:dyDescent="0.25" r="183" customHeight="1" ht="15.75">
      <c r="A183" s="2"/>
      <c r="B183" s="12"/>
      <c r="C183" s="12"/>
      <c r="D183" s="12"/>
    </row>
    <row x14ac:dyDescent="0.25" r="184" customHeight="1" ht="15.75">
      <c r="A184" s="2"/>
      <c r="B184" s="12"/>
      <c r="C184" s="12"/>
      <c r="D184" s="12"/>
    </row>
    <row x14ac:dyDescent="0.25" r="185" customHeight="1" ht="15.75">
      <c r="A185" s="2"/>
      <c r="B185" s="12"/>
      <c r="C185" s="12"/>
      <c r="D185" s="12"/>
    </row>
    <row x14ac:dyDescent="0.25" r="186" customHeight="1" ht="15.75">
      <c r="A186" s="2"/>
      <c r="B186" s="12"/>
      <c r="C186" s="12"/>
      <c r="D186" s="12"/>
    </row>
    <row x14ac:dyDescent="0.25" r="187" customHeight="1" ht="15.75">
      <c r="A187" s="2"/>
      <c r="B187" s="12"/>
      <c r="C187" s="12"/>
      <c r="D187" s="12"/>
    </row>
    <row x14ac:dyDescent="0.25" r="188" customHeight="1" ht="15.75">
      <c r="A188" s="2"/>
      <c r="B188" s="12"/>
      <c r="C188" s="12"/>
      <c r="D188" s="12"/>
    </row>
    <row x14ac:dyDescent="0.25" r="189" customHeight="1" ht="15.75">
      <c r="A189" s="2"/>
      <c r="B189" s="12"/>
      <c r="C189" s="12"/>
      <c r="D189" s="12"/>
    </row>
    <row x14ac:dyDescent="0.25" r="190" customHeight="1" ht="15.75">
      <c r="A190" s="2"/>
      <c r="B190" s="12"/>
      <c r="C190" s="12"/>
      <c r="D190" s="12"/>
    </row>
    <row x14ac:dyDescent="0.25" r="191" customHeight="1" ht="15.75">
      <c r="A191" s="2"/>
      <c r="B191" s="12"/>
      <c r="C191" s="12"/>
      <c r="D191" s="12"/>
    </row>
    <row x14ac:dyDescent="0.25" r="192" customHeight="1" ht="15.75">
      <c r="A192" s="2"/>
      <c r="B192" s="12"/>
      <c r="C192" s="12"/>
      <c r="D192" s="12"/>
    </row>
    <row x14ac:dyDescent="0.25" r="193" customHeight="1" ht="15.75">
      <c r="A193" s="2"/>
      <c r="B193" s="12"/>
      <c r="C193" s="12"/>
      <c r="D193" s="12"/>
    </row>
    <row x14ac:dyDescent="0.25" r="194" customHeight="1" ht="15.75">
      <c r="A194" s="2"/>
      <c r="B194" s="12"/>
      <c r="C194" s="12"/>
      <c r="D194" s="12"/>
    </row>
    <row x14ac:dyDescent="0.25" r="195" customHeight="1" ht="15.75">
      <c r="A195" s="2"/>
      <c r="B195" s="12"/>
      <c r="C195" s="12"/>
      <c r="D195" s="12"/>
    </row>
    <row x14ac:dyDescent="0.25" r="196" customHeight="1" ht="15.75">
      <c r="A196" s="2"/>
      <c r="B196" s="12"/>
      <c r="C196" s="12"/>
      <c r="D196" s="12"/>
    </row>
    <row x14ac:dyDescent="0.25" r="197" customHeight="1" ht="15.75">
      <c r="A197" s="2"/>
      <c r="B197" s="12"/>
      <c r="C197" s="12"/>
      <c r="D197" s="12"/>
    </row>
    <row x14ac:dyDescent="0.25" r="198" customHeight="1" ht="15.75">
      <c r="A198" s="2"/>
      <c r="B198" s="12"/>
      <c r="C198" s="12"/>
      <c r="D198" s="12"/>
    </row>
    <row x14ac:dyDescent="0.25" r="199" customHeight="1" ht="15.75">
      <c r="A199" s="2"/>
      <c r="B199" s="12"/>
      <c r="C199" s="12"/>
      <c r="D199" s="12"/>
    </row>
    <row x14ac:dyDescent="0.25" r="200" customHeight="1" ht="15.75">
      <c r="A200" s="2"/>
      <c r="B200" s="12"/>
      <c r="C200" s="12"/>
      <c r="D200" s="12"/>
    </row>
    <row x14ac:dyDescent="0.25" r="201" customHeight="1" ht="15.75">
      <c r="A201" s="2"/>
      <c r="B201" s="12"/>
      <c r="C201" s="12"/>
      <c r="D201" s="12"/>
    </row>
    <row x14ac:dyDescent="0.25" r="202" customHeight="1" ht="15.75">
      <c r="A202" s="2"/>
      <c r="B202" s="12"/>
      <c r="C202" s="12"/>
      <c r="D202" s="12"/>
    </row>
    <row x14ac:dyDescent="0.25" r="203" customHeight="1" ht="15.75">
      <c r="A203" s="2"/>
      <c r="B203" s="12"/>
      <c r="C203" s="12"/>
      <c r="D203" s="12"/>
    </row>
    <row x14ac:dyDescent="0.25" r="204" customHeight="1" ht="15.75">
      <c r="A204" s="2"/>
      <c r="B204" s="12"/>
      <c r="C204" s="12"/>
      <c r="D204" s="12"/>
    </row>
    <row x14ac:dyDescent="0.25" r="205" customHeight="1" ht="15.75">
      <c r="A205" s="2"/>
      <c r="B205" s="12"/>
      <c r="C205" s="12"/>
      <c r="D205" s="12"/>
    </row>
    <row x14ac:dyDescent="0.25" r="206" customHeight="1" ht="15.75">
      <c r="A206" s="2"/>
      <c r="B206" s="12"/>
      <c r="C206" s="12"/>
      <c r="D206" s="12"/>
    </row>
    <row x14ac:dyDescent="0.25" r="207" customHeight="1" ht="15.75">
      <c r="A207" s="2"/>
      <c r="B207" s="12"/>
      <c r="C207" s="12"/>
      <c r="D207" s="12"/>
    </row>
    <row x14ac:dyDescent="0.25" r="208" customHeight="1" ht="15.75">
      <c r="A208" s="2"/>
      <c r="B208" s="12"/>
      <c r="C208" s="12"/>
      <c r="D208" s="12"/>
    </row>
    <row x14ac:dyDescent="0.25" r="209" customHeight="1" ht="15.75">
      <c r="A209" s="2"/>
      <c r="B209" s="12"/>
      <c r="C209" s="12"/>
      <c r="D209" s="12"/>
    </row>
    <row x14ac:dyDescent="0.25" r="210" customHeight="1" ht="15.75">
      <c r="A210" s="2"/>
      <c r="B210" s="12"/>
      <c r="C210" s="12"/>
      <c r="D210" s="12"/>
    </row>
    <row x14ac:dyDescent="0.25" r="211" customHeight="1" ht="15.75">
      <c r="A211" s="2"/>
      <c r="B211" s="12"/>
      <c r="C211" s="12"/>
      <c r="D211" s="12"/>
    </row>
    <row x14ac:dyDescent="0.25" r="212" customHeight="1" ht="15.75">
      <c r="A212" s="2"/>
      <c r="B212" s="12"/>
      <c r="C212" s="12"/>
      <c r="D212" s="12"/>
    </row>
    <row x14ac:dyDescent="0.25" r="213" customHeight="1" ht="15.75">
      <c r="A213" s="2"/>
      <c r="B213" s="12"/>
      <c r="C213" s="12"/>
      <c r="D213" s="12"/>
    </row>
    <row x14ac:dyDescent="0.25" r="214" customHeight="1" ht="15.75">
      <c r="A214" s="2"/>
      <c r="B214" s="12"/>
      <c r="C214" s="12"/>
      <c r="D214" s="12"/>
    </row>
    <row x14ac:dyDescent="0.25" r="215" customHeight="1" ht="15.75">
      <c r="A215" s="2"/>
      <c r="B215" s="12"/>
      <c r="C215" s="12"/>
      <c r="D215" s="12"/>
    </row>
    <row x14ac:dyDescent="0.25" r="216" customHeight="1" ht="15.75">
      <c r="A216" s="2"/>
      <c r="B216" s="12"/>
      <c r="C216" s="12"/>
      <c r="D216" s="12"/>
    </row>
    <row x14ac:dyDescent="0.25" r="217" customHeight="1" ht="15.75">
      <c r="A217" s="2"/>
      <c r="B217" s="12"/>
      <c r="C217" s="12"/>
      <c r="D217" s="12"/>
    </row>
    <row x14ac:dyDescent="0.25" r="218" customHeight="1" ht="15.75">
      <c r="A218" s="2"/>
      <c r="B218" s="12"/>
      <c r="C218" s="12"/>
      <c r="D218" s="12"/>
    </row>
    <row x14ac:dyDescent="0.25" r="219" customHeight="1" ht="15.75">
      <c r="A219" s="2"/>
      <c r="B219" s="12"/>
      <c r="C219" s="12"/>
      <c r="D219" s="12"/>
    </row>
    <row x14ac:dyDescent="0.25" r="220" customHeight="1" ht="15.75">
      <c r="A220" s="2"/>
      <c r="B220" s="12"/>
      <c r="C220" s="12"/>
      <c r="D220" s="12"/>
    </row>
    <row x14ac:dyDescent="0.25" r="221" customHeight="1" ht="15.75">
      <c r="A221" s="2"/>
      <c r="B221" s="12"/>
      <c r="C221" s="12"/>
      <c r="D221" s="12"/>
    </row>
    <row x14ac:dyDescent="0.25" r="222" customHeight="1" ht="15.75">
      <c r="A222" s="2"/>
      <c r="B222" s="12"/>
      <c r="C222" s="12"/>
      <c r="D222" s="12"/>
    </row>
    <row x14ac:dyDescent="0.25" r="223" customHeight="1" ht="15.75">
      <c r="A223" s="2"/>
      <c r="B223" s="12"/>
      <c r="C223" s="12"/>
      <c r="D223" s="12"/>
    </row>
    <row x14ac:dyDescent="0.25" r="224" customHeight="1" ht="15.75">
      <c r="A224" s="2"/>
      <c r="B224" s="12"/>
      <c r="C224" s="12"/>
      <c r="D224" s="12"/>
    </row>
    <row x14ac:dyDescent="0.25" r="225" customHeight="1" ht="15.75">
      <c r="A225" s="2"/>
      <c r="B225" s="12"/>
      <c r="C225" s="12"/>
      <c r="D225" s="12"/>
    </row>
    <row x14ac:dyDescent="0.25" r="226" customHeight="1" ht="15.75">
      <c r="A226" s="2"/>
      <c r="B226" s="12"/>
      <c r="C226" s="12"/>
      <c r="D226" s="12"/>
    </row>
    <row x14ac:dyDescent="0.25" r="227" customHeight="1" ht="15.75">
      <c r="A227" s="2"/>
      <c r="B227" s="12"/>
      <c r="C227" s="12"/>
      <c r="D227" s="12"/>
    </row>
    <row x14ac:dyDescent="0.25" r="228" customHeight="1" ht="15.75">
      <c r="A228" s="2"/>
      <c r="B228" s="12"/>
      <c r="C228" s="12"/>
      <c r="D228" s="12"/>
    </row>
    <row x14ac:dyDescent="0.25" r="229" customHeight="1" ht="15.75">
      <c r="A229" s="2"/>
      <c r="B229" s="12"/>
      <c r="C229" s="12"/>
      <c r="D229" s="12"/>
    </row>
    <row x14ac:dyDescent="0.25" r="230" customHeight="1" ht="15.75">
      <c r="A230" s="2"/>
      <c r="B230" s="12"/>
      <c r="C230" s="12"/>
      <c r="D230" s="12"/>
    </row>
    <row x14ac:dyDescent="0.25" r="231" customHeight="1" ht="15.75">
      <c r="A231" s="2"/>
      <c r="B231" s="12"/>
      <c r="C231" s="12"/>
      <c r="D231" s="12"/>
    </row>
    <row x14ac:dyDescent="0.25" r="232" customHeight="1" ht="15.75">
      <c r="A232" s="2"/>
      <c r="B232" s="12"/>
      <c r="C232" s="12"/>
      <c r="D232" s="12"/>
    </row>
    <row x14ac:dyDescent="0.25" r="233" customHeight="1" ht="15.75">
      <c r="A233" s="2"/>
      <c r="B233" s="12"/>
      <c r="C233" s="12"/>
      <c r="D233" s="12"/>
    </row>
    <row x14ac:dyDescent="0.25" r="234" customHeight="1" ht="15.75">
      <c r="A234" s="2"/>
      <c r="B234" s="12"/>
      <c r="C234" s="12"/>
      <c r="D234" s="12"/>
    </row>
    <row x14ac:dyDescent="0.25" r="235" customHeight="1" ht="15.75">
      <c r="A235" s="2"/>
      <c r="B235" s="12"/>
      <c r="C235" s="12"/>
      <c r="D235" s="12"/>
    </row>
    <row x14ac:dyDescent="0.25" r="236" customHeight="1" ht="15.75">
      <c r="A236" s="2"/>
      <c r="B236" s="12"/>
      <c r="C236" s="12"/>
      <c r="D236" s="12"/>
    </row>
    <row x14ac:dyDescent="0.25" r="237" customHeight="1" ht="15.75">
      <c r="A237" s="2"/>
      <c r="B237" s="12"/>
      <c r="C237" s="12"/>
      <c r="D237" s="12"/>
    </row>
    <row x14ac:dyDescent="0.25" r="238" customHeight="1" ht="15.75">
      <c r="A238" s="2"/>
      <c r="B238" s="12"/>
      <c r="C238" s="12"/>
      <c r="D238" s="12"/>
    </row>
    <row x14ac:dyDescent="0.25" r="239" customHeight="1" ht="15.75">
      <c r="A239" s="2"/>
      <c r="B239" s="12"/>
      <c r="C239" s="12"/>
      <c r="D239" s="12"/>
    </row>
    <row x14ac:dyDescent="0.25" r="240" customHeight="1" ht="15.75">
      <c r="A240" s="2"/>
      <c r="B240" s="12"/>
      <c r="C240" s="12"/>
      <c r="D240" s="12"/>
    </row>
    <row x14ac:dyDescent="0.25" r="241" customHeight="1" ht="15.75">
      <c r="A241" s="2"/>
      <c r="B241" s="12"/>
      <c r="C241" s="12"/>
      <c r="D241" s="12"/>
    </row>
    <row x14ac:dyDescent="0.25" r="242" customHeight="1" ht="15.75">
      <c r="A242" s="2"/>
      <c r="B242" s="12"/>
      <c r="C242" s="12"/>
      <c r="D242" s="12"/>
    </row>
    <row x14ac:dyDescent="0.25" r="243" customHeight="1" ht="15.75">
      <c r="A243" s="2"/>
      <c r="B243" s="12"/>
      <c r="C243" s="12"/>
      <c r="D243" s="12"/>
    </row>
    <row x14ac:dyDescent="0.25" r="244" customHeight="1" ht="15.75">
      <c r="A244" s="2"/>
      <c r="B244" s="12"/>
      <c r="C244" s="12"/>
      <c r="D244" s="12"/>
    </row>
    <row x14ac:dyDescent="0.25" r="245" customHeight="1" ht="15.75">
      <c r="A245" s="2"/>
      <c r="B245" s="12"/>
      <c r="C245" s="12"/>
      <c r="D245" s="12"/>
    </row>
    <row x14ac:dyDescent="0.25" r="246" customHeight="1" ht="15.75">
      <c r="A246" s="2"/>
      <c r="B246" s="12"/>
      <c r="C246" s="12"/>
      <c r="D246" s="12"/>
    </row>
    <row x14ac:dyDescent="0.25" r="247" customHeight="1" ht="15.75">
      <c r="A247" s="2"/>
      <c r="B247" s="12"/>
      <c r="C247" s="12"/>
      <c r="D247" s="12"/>
    </row>
    <row x14ac:dyDescent="0.25" r="248" customHeight="1" ht="15.75">
      <c r="A248" s="2"/>
      <c r="B248" s="12"/>
      <c r="C248" s="12"/>
      <c r="D248" s="12"/>
    </row>
    <row x14ac:dyDescent="0.25" r="249" customHeight="1" ht="15.75">
      <c r="A249" s="2"/>
      <c r="B249" s="12"/>
      <c r="C249" s="12"/>
      <c r="D249" s="12"/>
    </row>
    <row x14ac:dyDescent="0.25" r="250" customHeight="1" ht="15.75">
      <c r="A250" s="2"/>
      <c r="B250" s="12"/>
      <c r="C250" s="12"/>
      <c r="D250" s="12"/>
    </row>
    <row x14ac:dyDescent="0.25" r="251" customHeight="1" ht="15.75">
      <c r="A251" s="2"/>
      <c r="B251" s="12"/>
      <c r="C251" s="12"/>
      <c r="D251" s="12"/>
    </row>
    <row x14ac:dyDescent="0.25" r="252" customHeight="1" ht="15.75">
      <c r="A252" s="2"/>
      <c r="B252" s="12"/>
      <c r="C252" s="12"/>
      <c r="D252" s="12"/>
    </row>
    <row x14ac:dyDescent="0.25" r="253" customHeight="1" ht="15.75">
      <c r="A253" s="2"/>
      <c r="B253" s="12"/>
      <c r="C253" s="12"/>
      <c r="D253" s="12"/>
    </row>
    <row x14ac:dyDescent="0.25" r="254" customHeight="1" ht="15.75">
      <c r="A254" s="2"/>
      <c r="B254" s="12"/>
      <c r="C254" s="12"/>
      <c r="D254" s="12"/>
    </row>
    <row x14ac:dyDescent="0.25" r="255" customHeight="1" ht="15.75">
      <c r="A255" s="2"/>
      <c r="B255" s="12"/>
      <c r="C255" s="12"/>
      <c r="D255" s="12"/>
    </row>
    <row x14ac:dyDescent="0.25" r="256" customHeight="1" ht="15.75">
      <c r="A256" s="2"/>
      <c r="B256" s="12"/>
      <c r="C256" s="12"/>
      <c r="D256" s="12"/>
    </row>
    <row x14ac:dyDescent="0.25" r="257" customHeight="1" ht="15.75">
      <c r="A257" s="2"/>
      <c r="B257" s="12"/>
      <c r="C257" s="12"/>
      <c r="D257" s="12"/>
    </row>
    <row x14ac:dyDescent="0.25" r="258" customHeight="1" ht="15.75">
      <c r="A258" s="2"/>
      <c r="B258" s="12"/>
      <c r="C258" s="12"/>
      <c r="D258" s="12"/>
    </row>
    <row x14ac:dyDescent="0.25" r="259" customHeight="1" ht="15.75">
      <c r="A259" s="2"/>
      <c r="B259" s="12"/>
      <c r="C259" s="12"/>
      <c r="D259" s="12"/>
    </row>
    <row x14ac:dyDescent="0.25" r="260" customHeight="1" ht="15.75">
      <c r="A260" s="2"/>
      <c r="B260" s="12"/>
      <c r="C260" s="12"/>
      <c r="D260" s="12"/>
    </row>
    <row x14ac:dyDescent="0.25" r="261" customHeight="1" ht="15.75">
      <c r="A261" s="2"/>
      <c r="B261" s="12"/>
      <c r="C261" s="12"/>
      <c r="D261" s="12"/>
    </row>
    <row x14ac:dyDescent="0.25" r="262" customHeight="1" ht="15.75">
      <c r="A262" s="2"/>
      <c r="B262" s="12"/>
      <c r="C262" s="12"/>
      <c r="D262" s="12"/>
    </row>
    <row x14ac:dyDescent="0.25" r="263" customHeight="1" ht="15.75">
      <c r="A263" s="2"/>
      <c r="B263" s="12"/>
      <c r="C263" s="12"/>
      <c r="D263" s="12"/>
    </row>
    <row x14ac:dyDescent="0.25" r="264" customHeight="1" ht="15.75">
      <c r="A264" s="2"/>
      <c r="B264" s="12"/>
      <c r="C264" s="12"/>
      <c r="D264" s="12"/>
    </row>
    <row x14ac:dyDescent="0.25" r="265" customHeight="1" ht="15.75">
      <c r="A265" s="2"/>
      <c r="B265" s="12"/>
      <c r="C265" s="12"/>
      <c r="D265" s="12"/>
    </row>
    <row x14ac:dyDescent="0.25" r="266" customHeight="1" ht="15.75">
      <c r="A266" s="2"/>
      <c r="B266" s="12"/>
      <c r="C266" s="12"/>
      <c r="D266" s="12"/>
    </row>
    <row x14ac:dyDescent="0.25" r="267" customHeight="1" ht="15.75">
      <c r="A267" s="2"/>
      <c r="B267" s="12"/>
      <c r="C267" s="12"/>
      <c r="D267" s="12"/>
    </row>
    <row x14ac:dyDescent="0.25" r="268" customHeight="1" ht="15.75">
      <c r="A268" s="2"/>
      <c r="B268" s="12"/>
      <c r="C268" s="12"/>
      <c r="D268" s="12"/>
    </row>
    <row x14ac:dyDescent="0.25" r="269" customHeight="1" ht="15.75">
      <c r="A269" s="2"/>
      <c r="B269" s="12"/>
      <c r="C269" s="12"/>
      <c r="D269" s="12"/>
    </row>
    <row x14ac:dyDescent="0.25" r="270" customHeight="1" ht="15.75">
      <c r="A270" s="2"/>
      <c r="B270" s="12"/>
      <c r="C270" s="12"/>
      <c r="D270" s="12"/>
    </row>
    <row x14ac:dyDescent="0.25" r="271" customHeight="1" ht="15.75">
      <c r="A271" s="2"/>
      <c r="B271" s="12"/>
      <c r="C271" s="12"/>
      <c r="D271" s="12"/>
    </row>
    <row x14ac:dyDescent="0.25" r="272" customHeight="1" ht="15.75">
      <c r="A272" s="2"/>
      <c r="B272" s="12"/>
      <c r="C272" s="12"/>
      <c r="D272" s="12"/>
    </row>
    <row x14ac:dyDescent="0.25" r="273" customHeight="1" ht="15.75">
      <c r="A273" s="2"/>
      <c r="B273" s="12"/>
      <c r="C273" s="12"/>
      <c r="D273" s="12"/>
    </row>
    <row x14ac:dyDescent="0.25" r="274" customHeight="1" ht="15.75">
      <c r="A274" s="2"/>
      <c r="B274" s="12"/>
      <c r="C274" s="12"/>
      <c r="D274" s="12"/>
    </row>
    <row x14ac:dyDescent="0.25" r="275" customHeight="1" ht="15.75">
      <c r="A275" s="2"/>
      <c r="B275" s="12"/>
      <c r="C275" s="12"/>
      <c r="D275" s="12"/>
    </row>
    <row x14ac:dyDescent="0.25" r="276" customHeight="1" ht="15.75">
      <c r="A276" s="2"/>
      <c r="B276" s="12"/>
      <c r="C276" s="12"/>
      <c r="D276" s="12"/>
    </row>
    <row x14ac:dyDescent="0.25" r="277" customHeight="1" ht="15.75">
      <c r="A277" s="2"/>
      <c r="B277" s="12"/>
      <c r="C277" s="12"/>
      <c r="D277" s="12"/>
    </row>
    <row x14ac:dyDescent="0.25" r="278" customHeight="1" ht="15.75">
      <c r="A278" s="2"/>
      <c r="B278" s="12"/>
      <c r="C278" s="12"/>
      <c r="D278" s="12"/>
    </row>
    <row x14ac:dyDescent="0.25" r="279" customHeight="1" ht="15.75">
      <c r="A279" s="2"/>
      <c r="B279" s="12"/>
      <c r="C279" s="12"/>
      <c r="D279" s="12"/>
    </row>
    <row x14ac:dyDescent="0.25" r="280" customHeight="1" ht="15.75">
      <c r="A280" s="2"/>
      <c r="B280" s="12"/>
      <c r="C280" s="12"/>
      <c r="D280" s="12"/>
    </row>
    <row x14ac:dyDescent="0.25" r="281" customHeight="1" ht="15.75">
      <c r="A281" s="2"/>
      <c r="B281" s="12"/>
      <c r="C281" s="12"/>
      <c r="D281" s="12"/>
    </row>
    <row x14ac:dyDescent="0.25" r="282" customHeight="1" ht="15.75">
      <c r="A282" s="2"/>
      <c r="B282" s="12"/>
      <c r="C282" s="12"/>
      <c r="D282" s="12"/>
    </row>
    <row x14ac:dyDescent="0.25" r="283" customHeight="1" ht="15.75">
      <c r="A283" s="2"/>
      <c r="B283" s="12"/>
      <c r="C283" s="12"/>
      <c r="D283" s="12"/>
    </row>
    <row x14ac:dyDescent="0.25" r="284" customHeight="1" ht="15.75">
      <c r="A284" s="2"/>
      <c r="B284" s="12"/>
      <c r="C284" s="12"/>
      <c r="D284" s="12"/>
    </row>
    <row x14ac:dyDescent="0.25" r="285" customHeight="1" ht="15.75">
      <c r="A285" s="2"/>
      <c r="B285" s="12"/>
      <c r="C285" s="12"/>
      <c r="D285" s="12"/>
    </row>
    <row x14ac:dyDescent="0.25" r="286" customHeight="1" ht="15.75">
      <c r="A286" s="2"/>
      <c r="B286" s="12"/>
      <c r="C286" s="12"/>
      <c r="D286" s="12"/>
    </row>
    <row x14ac:dyDescent="0.25" r="287" customHeight="1" ht="15.75">
      <c r="A287" s="2"/>
      <c r="B287" s="12"/>
      <c r="C287" s="12"/>
      <c r="D287" s="12"/>
    </row>
    <row x14ac:dyDescent="0.25" r="288" customHeight="1" ht="15.75">
      <c r="A288" s="2"/>
      <c r="B288" s="12"/>
      <c r="C288" s="12"/>
      <c r="D288" s="12"/>
    </row>
    <row x14ac:dyDescent="0.25" r="289" customHeight="1" ht="15.75">
      <c r="A289" s="2"/>
      <c r="B289" s="12"/>
      <c r="C289" s="12"/>
      <c r="D289" s="12"/>
    </row>
    <row x14ac:dyDescent="0.25" r="290" customHeight="1" ht="15.75">
      <c r="A290" s="2"/>
      <c r="B290" s="12"/>
      <c r="C290" s="12"/>
      <c r="D290" s="12"/>
    </row>
    <row x14ac:dyDescent="0.25" r="291" customHeight="1" ht="15.75">
      <c r="A291" s="2"/>
      <c r="B291" s="12"/>
      <c r="C291" s="12"/>
      <c r="D291" s="12"/>
    </row>
    <row x14ac:dyDescent="0.25" r="292" customHeight="1" ht="15.75">
      <c r="A292" s="2"/>
      <c r="B292" s="12"/>
      <c r="C292" s="12"/>
      <c r="D292" s="12"/>
    </row>
    <row x14ac:dyDescent="0.25" r="293" customHeight="1" ht="15.75">
      <c r="A293" s="2"/>
      <c r="B293" s="12"/>
      <c r="C293" s="12"/>
      <c r="D293" s="12"/>
    </row>
    <row x14ac:dyDescent="0.25" r="294" customHeight="1" ht="15.75">
      <c r="A294" s="2"/>
      <c r="B294" s="12"/>
      <c r="C294" s="12"/>
      <c r="D294" s="12"/>
    </row>
    <row x14ac:dyDescent="0.25" r="295" customHeight="1" ht="15.75">
      <c r="A295" s="2"/>
      <c r="B295" s="12"/>
      <c r="C295" s="12"/>
      <c r="D295" s="12"/>
    </row>
    <row x14ac:dyDescent="0.25" r="296" customHeight="1" ht="15.75">
      <c r="A296" s="2"/>
      <c r="B296" s="12"/>
      <c r="C296" s="12"/>
      <c r="D296" s="12"/>
    </row>
    <row x14ac:dyDescent="0.25" r="297" customHeight="1" ht="15.75">
      <c r="A297" s="2"/>
      <c r="B297" s="12"/>
      <c r="C297" s="12"/>
      <c r="D297" s="12"/>
    </row>
    <row x14ac:dyDescent="0.25" r="298" customHeight="1" ht="15.75">
      <c r="A298" s="2"/>
      <c r="B298" s="12"/>
      <c r="C298" s="12"/>
      <c r="D298" s="12"/>
    </row>
    <row x14ac:dyDescent="0.25" r="299" customHeight="1" ht="15.75">
      <c r="A299" s="2"/>
      <c r="B299" s="12"/>
      <c r="C299" s="12"/>
      <c r="D299" s="12"/>
    </row>
    <row x14ac:dyDescent="0.25" r="300" customHeight="1" ht="15.75">
      <c r="A300" s="2"/>
      <c r="B300" s="12"/>
      <c r="C300" s="12"/>
      <c r="D300" s="12"/>
    </row>
    <row x14ac:dyDescent="0.25" r="301" customHeight="1" ht="15.75">
      <c r="A301" s="2"/>
      <c r="B301" s="12"/>
      <c r="C301" s="12"/>
      <c r="D301" s="12"/>
    </row>
    <row x14ac:dyDescent="0.25" r="302" customHeight="1" ht="15.75">
      <c r="A302" s="2"/>
      <c r="B302" s="12"/>
      <c r="C302" s="12"/>
      <c r="D302" s="12"/>
    </row>
    <row x14ac:dyDescent="0.25" r="303" customHeight="1" ht="15.75">
      <c r="A303" s="2"/>
      <c r="B303" s="12"/>
      <c r="C303" s="12"/>
      <c r="D303" s="12"/>
    </row>
    <row x14ac:dyDescent="0.25" r="304" customHeight="1" ht="15.75">
      <c r="A304" s="2"/>
      <c r="B304" s="12"/>
      <c r="C304" s="12"/>
      <c r="D304" s="12"/>
    </row>
    <row x14ac:dyDescent="0.25" r="305" customHeight="1" ht="15.75">
      <c r="A305" s="2"/>
      <c r="B305" s="12"/>
      <c r="C305" s="12"/>
      <c r="D305" s="12"/>
    </row>
    <row x14ac:dyDescent="0.25" r="306" customHeight="1" ht="15.75">
      <c r="A306" s="2"/>
      <c r="B306" s="12"/>
      <c r="C306" s="12"/>
      <c r="D306" s="12"/>
    </row>
    <row x14ac:dyDescent="0.25" r="307" customHeight="1" ht="15.75">
      <c r="A307" s="2"/>
      <c r="B307" s="12"/>
      <c r="C307" s="12"/>
      <c r="D307" s="12"/>
    </row>
    <row x14ac:dyDescent="0.25" r="308" customHeight="1" ht="15.75">
      <c r="A308" s="2"/>
      <c r="B308" s="12"/>
      <c r="C308" s="12"/>
      <c r="D308" s="12"/>
    </row>
    <row x14ac:dyDescent="0.25" r="309" customHeight="1" ht="15.75">
      <c r="A309" s="2"/>
      <c r="B309" s="12"/>
      <c r="C309" s="12"/>
      <c r="D309" s="12"/>
    </row>
    <row x14ac:dyDescent="0.25" r="310" customHeight="1" ht="15.75">
      <c r="A310" s="2"/>
      <c r="B310" s="12"/>
      <c r="C310" s="12"/>
      <c r="D310" s="12"/>
    </row>
    <row x14ac:dyDescent="0.25" r="311" customHeight="1" ht="15.75">
      <c r="A311" s="2"/>
      <c r="B311" s="12"/>
      <c r="C311" s="12"/>
      <c r="D311" s="12"/>
    </row>
    <row x14ac:dyDescent="0.25" r="312" customHeight="1" ht="15.75">
      <c r="A312" s="2"/>
      <c r="B312" s="12"/>
      <c r="C312" s="12"/>
      <c r="D312" s="12"/>
    </row>
    <row x14ac:dyDescent="0.25" r="313" customHeight="1" ht="15.75">
      <c r="A313" s="2"/>
      <c r="B313" s="12"/>
      <c r="C313" s="12"/>
      <c r="D313" s="12"/>
    </row>
    <row x14ac:dyDescent="0.25" r="314" customHeight="1" ht="15.75">
      <c r="A314" s="2"/>
      <c r="B314" s="12"/>
      <c r="C314" s="12"/>
      <c r="D314" s="12"/>
    </row>
    <row x14ac:dyDescent="0.25" r="315" customHeight="1" ht="15.75">
      <c r="A315" s="2"/>
      <c r="B315" s="12"/>
      <c r="C315" s="12"/>
      <c r="D315" s="12"/>
    </row>
    <row x14ac:dyDescent="0.25" r="316" customHeight="1" ht="15.75">
      <c r="A316" s="2"/>
      <c r="B316" s="12"/>
      <c r="C316" s="12"/>
      <c r="D316" s="12"/>
    </row>
    <row x14ac:dyDescent="0.25" r="317" customHeight="1" ht="15.75">
      <c r="A317" s="2"/>
      <c r="B317" s="12"/>
      <c r="C317" s="12"/>
      <c r="D317" s="12"/>
    </row>
    <row x14ac:dyDescent="0.25" r="318" customHeight="1" ht="15.75">
      <c r="A318" s="2"/>
      <c r="B318" s="12"/>
      <c r="C318" s="12"/>
      <c r="D318" s="12"/>
    </row>
    <row x14ac:dyDescent="0.25" r="319" customHeight="1" ht="15.75">
      <c r="A319" s="2"/>
      <c r="B319" s="12"/>
      <c r="C319" s="12"/>
      <c r="D319" s="12"/>
    </row>
    <row x14ac:dyDescent="0.25" r="320" customHeight="1" ht="15.75">
      <c r="A320" s="2"/>
      <c r="B320" s="12"/>
      <c r="C320" s="12"/>
      <c r="D320" s="12"/>
    </row>
    <row x14ac:dyDescent="0.25" r="321" customHeight="1" ht="15.75">
      <c r="A321" s="2"/>
      <c r="B321" s="12"/>
      <c r="C321" s="12"/>
      <c r="D321" s="12"/>
    </row>
    <row x14ac:dyDescent="0.25" r="322" customHeight="1" ht="15.75">
      <c r="A322" s="2"/>
      <c r="B322" s="12"/>
      <c r="C322" s="12"/>
      <c r="D322" s="12"/>
    </row>
    <row x14ac:dyDescent="0.25" r="323" customHeight="1" ht="15.75">
      <c r="A323" s="2"/>
      <c r="B323" s="12"/>
      <c r="C323" s="12"/>
      <c r="D323" s="12"/>
    </row>
    <row x14ac:dyDescent="0.25" r="324" customHeight="1" ht="15.75">
      <c r="A324" s="2"/>
      <c r="B324" s="12"/>
      <c r="C324" s="12"/>
      <c r="D324" s="12"/>
    </row>
    <row x14ac:dyDescent="0.25" r="325" customHeight="1" ht="15.75">
      <c r="A325" s="2"/>
      <c r="B325" s="12"/>
      <c r="C325" s="12"/>
      <c r="D325" s="12"/>
    </row>
    <row x14ac:dyDescent="0.25" r="326" customHeight="1" ht="15.75">
      <c r="A326" s="2"/>
      <c r="B326" s="12"/>
      <c r="C326" s="12"/>
      <c r="D326" s="12"/>
    </row>
    <row x14ac:dyDescent="0.25" r="327" customHeight="1" ht="15.75">
      <c r="A327" s="2"/>
      <c r="B327" s="12"/>
      <c r="C327" s="12"/>
      <c r="D327" s="12"/>
    </row>
    <row x14ac:dyDescent="0.25" r="328" customHeight="1" ht="15.75">
      <c r="A328" s="2"/>
      <c r="B328" s="12"/>
      <c r="C328" s="12"/>
      <c r="D328" s="12"/>
    </row>
    <row x14ac:dyDescent="0.25" r="329" customHeight="1" ht="15.75">
      <c r="A329" s="2"/>
      <c r="B329" s="12"/>
      <c r="C329" s="12"/>
      <c r="D329" s="12"/>
    </row>
    <row x14ac:dyDescent="0.25" r="330" customHeight="1" ht="15.75">
      <c r="A330" s="2"/>
      <c r="B330" s="12"/>
      <c r="C330" s="12"/>
      <c r="D330" s="12"/>
    </row>
    <row x14ac:dyDescent="0.25" r="331" customHeight="1" ht="15.75">
      <c r="A331" s="2"/>
      <c r="B331" s="12"/>
      <c r="C331" s="12"/>
      <c r="D331" s="12"/>
    </row>
    <row x14ac:dyDescent="0.25" r="332" customHeight="1" ht="15.75">
      <c r="A332" s="2"/>
      <c r="B332" s="12"/>
      <c r="C332" s="12"/>
      <c r="D332" s="12"/>
    </row>
    <row x14ac:dyDescent="0.25" r="333" customHeight="1" ht="15.75">
      <c r="A333" s="2"/>
      <c r="B333" s="12"/>
      <c r="C333" s="12"/>
      <c r="D333" s="12"/>
    </row>
    <row x14ac:dyDescent="0.25" r="334" customHeight="1" ht="15.75">
      <c r="A334" s="2"/>
      <c r="B334" s="12"/>
      <c r="C334" s="12"/>
      <c r="D334" s="12"/>
    </row>
    <row x14ac:dyDescent="0.25" r="335" customHeight="1" ht="15.75">
      <c r="A335" s="2"/>
      <c r="B335" s="12"/>
      <c r="C335" s="12"/>
      <c r="D335" s="12"/>
    </row>
    <row x14ac:dyDescent="0.25" r="336" customHeight="1" ht="15.75">
      <c r="A336" s="2"/>
      <c r="B336" s="12"/>
      <c r="C336" s="12"/>
      <c r="D336" s="12"/>
    </row>
    <row x14ac:dyDescent="0.25" r="337" customHeight="1" ht="15.75">
      <c r="A337" s="2"/>
      <c r="B337" s="12"/>
      <c r="C337" s="12"/>
      <c r="D337" s="12"/>
    </row>
    <row x14ac:dyDescent="0.25" r="338" customHeight="1" ht="15.75">
      <c r="A338" s="2"/>
      <c r="B338" s="12"/>
      <c r="C338" s="12"/>
      <c r="D338" s="12"/>
    </row>
    <row x14ac:dyDescent="0.25" r="339" customHeight="1" ht="15.75">
      <c r="A339" s="2"/>
      <c r="B339" s="12"/>
      <c r="C339" s="12"/>
      <c r="D339" s="12"/>
    </row>
    <row x14ac:dyDescent="0.25" r="340" customHeight="1" ht="15.75">
      <c r="A340" s="2"/>
      <c r="B340" s="12"/>
      <c r="C340" s="12"/>
      <c r="D340" s="12"/>
    </row>
    <row x14ac:dyDescent="0.25" r="341" customHeight="1" ht="15.75">
      <c r="A341" s="2"/>
      <c r="B341" s="12"/>
      <c r="C341" s="12"/>
      <c r="D341" s="12"/>
    </row>
    <row x14ac:dyDescent="0.25" r="342" customHeight="1" ht="15.75">
      <c r="A342" s="2"/>
      <c r="B342" s="12"/>
      <c r="C342" s="12"/>
      <c r="D342" s="12"/>
    </row>
    <row x14ac:dyDescent="0.25" r="343" customHeight="1" ht="15.75">
      <c r="A343" s="2"/>
      <c r="B343" s="12"/>
      <c r="C343" s="12"/>
      <c r="D343" s="12"/>
    </row>
    <row x14ac:dyDescent="0.25" r="344" customHeight="1" ht="15.75">
      <c r="A344" s="2"/>
      <c r="B344" s="12"/>
      <c r="C344" s="12"/>
      <c r="D344" s="12"/>
    </row>
    <row x14ac:dyDescent="0.25" r="345" customHeight="1" ht="15.75">
      <c r="A345" s="2"/>
      <c r="B345" s="12"/>
      <c r="C345" s="12"/>
      <c r="D345" s="12"/>
    </row>
    <row x14ac:dyDescent="0.25" r="346" customHeight="1" ht="15.75">
      <c r="A346" s="2"/>
      <c r="B346" s="12"/>
      <c r="C346" s="12"/>
      <c r="D346" s="12"/>
    </row>
    <row x14ac:dyDescent="0.25" r="347" customHeight="1" ht="15.75">
      <c r="A347" s="2"/>
      <c r="B347" s="12"/>
      <c r="C347" s="12"/>
      <c r="D347" s="12"/>
    </row>
    <row x14ac:dyDescent="0.25" r="348" customHeight="1" ht="15.75">
      <c r="A348" s="2"/>
      <c r="B348" s="12"/>
      <c r="C348" s="12"/>
      <c r="D348" s="12"/>
    </row>
    <row x14ac:dyDescent="0.25" r="349" customHeight="1" ht="15.75">
      <c r="A349" s="2"/>
      <c r="B349" s="12"/>
      <c r="C349" s="12"/>
      <c r="D349" s="12"/>
    </row>
    <row x14ac:dyDescent="0.25" r="350" customHeight="1" ht="15.75">
      <c r="A350" s="2"/>
      <c r="B350" s="12"/>
      <c r="C350" s="12"/>
      <c r="D350" s="12"/>
    </row>
    <row x14ac:dyDescent="0.25" r="351" customHeight="1" ht="15.75">
      <c r="A351" s="2"/>
      <c r="B351" s="12"/>
      <c r="C351" s="12"/>
      <c r="D351" s="12"/>
    </row>
    <row x14ac:dyDescent="0.25" r="352" customHeight="1" ht="15.75">
      <c r="A352" s="2"/>
      <c r="B352" s="12"/>
      <c r="C352" s="12"/>
      <c r="D352" s="12"/>
    </row>
    <row x14ac:dyDescent="0.25" r="353" customHeight="1" ht="15.75">
      <c r="A353" s="2"/>
      <c r="B353" s="12"/>
      <c r="C353" s="12"/>
      <c r="D353" s="12"/>
    </row>
    <row x14ac:dyDescent="0.25" r="354" customHeight="1" ht="15.75">
      <c r="A354" s="2"/>
      <c r="B354" s="12"/>
      <c r="C354" s="12"/>
      <c r="D354" s="12"/>
    </row>
    <row x14ac:dyDescent="0.25" r="355" customHeight="1" ht="15.75">
      <c r="A355" s="2"/>
      <c r="B355" s="12"/>
      <c r="C355" s="12"/>
      <c r="D355" s="12"/>
    </row>
    <row x14ac:dyDescent="0.25" r="356" customHeight="1" ht="15.75">
      <c r="A356" s="2"/>
      <c r="B356" s="12"/>
      <c r="C356" s="12"/>
      <c r="D356" s="12"/>
    </row>
    <row x14ac:dyDescent="0.25" r="357" customHeight="1" ht="15.75">
      <c r="A357" s="2"/>
      <c r="B357" s="12"/>
      <c r="C357" s="12"/>
      <c r="D357" s="12"/>
    </row>
    <row x14ac:dyDescent="0.25" r="358" customHeight="1" ht="15.75">
      <c r="A358" s="2"/>
      <c r="B358" s="12"/>
      <c r="C358" s="12"/>
      <c r="D358" s="12"/>
    </row>
    <row x14ac:dyDescent="0.25" r="359" customHeight="1" ht="15.75">
      <c r="A359" s="2"/>
      <c r="B359" s="12"/>
      <c r="C359" s="12"/>
      <c r="D359" s="12"/>
    </row>
    <row x14ac:dyDescent="0.25" r="360" customHeight="1" ht="15.75">
      <c r="A360" s="2"/>
      <c r="B360" s="12"/>
      <c r="C360" s="12"/>
      <c r="D360" s="12"/>
    </row>
    <row x14ac:dyDescent="0.25" r="361" customHeight="1" ht="15.75">
      <c r="A361" s="2"/>
      <c r="B361" s="12"/>
      <c r="C361" s="12"/>
      <c r="D361" s="12"/>
    </row>
    <row x14ac:dyDescent="0.25" r="362" customHeight="1" ht="15.75">
      <c r="A362" s="2"/>
      <c r="B362" s="12"/>
      <c r="C362" s="12"/>
      <c r="D362" s="12"/>
    </row>
    <row x14ac:dyDescent="0.25" r="363" customHeight="1" ht="15.75">
      <c r="A363" s="2"/>
      <c r="B363" s="12"/>
      <c r="C363" s="12"/>
      <c r="D363" s="12"/>
    </row>
    <row x14ac:dyDescent="0.25" r="364" customHeight="1" ht="15.75">
      <c r="A364" s="2"/>
      <c r="B364" s="12"/>
      <c r="C364" s="12"/>
      <c r="D364" s="12"/>
    </row>
    <row x14ac:dyDescent="0.25" r="365" customHeight="1" ht="15.75">
      <c r="A365" s="2"/>
      <c r="B365" s="12"/>
      <c r="C365" s="12"/>
      <c r="D365" s="12"/>
    </row>
    <row x14ac:dyDescent="0.25" r="366" customHeight="1" ht="15.75">
      <c r="A366" s="2"/>
      <c r="B366" s="12"/>
      <c r="C366" s="12"/>
      <c r="D366" s="12"/>
    </row>
    <row x14ac:dyDescent="0.25" r="367" customHeight="1" ht="15.75">
      <c r="A367" s="2"/>
      <c r="B367" s="12"/>
      <c r="C367" s="12"/>
      <c r="D367" s="12"/>
    </row>
    <row x14ac:dyDescent="0.25" r="368" customHeight="1" ht="15.75">
      <c r="A368" s="2"/>
      <c r="B368" s="12"/>
      <c r="C368" s="12"/>
      <c r="D368" s="12"/>
    </row>
    <row x14ac:dyDescent="0.25" r="369" customHeight="1" ht="15.75">
      <c r="A369" s="2"/>
      <c r="B369" s="12"/>
      <c r="C369" s="12"/>
      <c r="D369" s="12"/>
    </row>
    <row x14ac:dyDescent="0.25" r="370" customHeight="1" ht="15.75">
      <c r="A370" s="2"/>
      <c r="B370" s="12"/>
      <c r="C370" s="12"/>
      <c r="D370" s="12"/>
    </row>
    <row x14ac:dyDescent="0.25" r="371" customHeight="1" ht="15.75">
      <c r="A371" s="2"/>
      <c r="B371" s="12"/>
      <c r="C371" s="12"/>
      <c r="D371" s="12"/>
    </row>
    <row x14ac:dyDescent="0.25" r="372" customHeight="1" ht="15.75">
      <c r="A372" s="2"/>
      <c r="B372" s="12"/>
      <c r="C372" s="12"/>
      <c r="D372" s="12"/>
    </row>
    <row x14ac:dyDescent="0.25" r="373" customHeight="1" ht="15.75">
      <c r="A373" s="2"/>
      <c r="B373" s="12"/>
      <c r="C373" s="12"/>
      <c r="D373" s="12"/>
    </row>
    <row x14ac:dyDescent="0.25" r="374" customHeight="1" ht="15.75">
      <c r="A374" s="2"/>
      <c r="B374" s="12"/>
      <c r="C374" s="12"/>
      <c r="D374" s="12"/>
    </row>
    <row x14ac:dyDescent="0.25" r="375" customHeight="1" ht="15.75">
      <c r="A375" s="2"/>
      <c r="B375" s="12"/>
      <c r="C375" s="12"/>
      <c r="D375" s="12"/>
    </row>
    <row x14ac:dyDescent="0.25" r="376" customHeight="1" ht="15.75">
      <c r="A376" s="2"/>
      <c r="B376" s="12"/>
      <c r="C376" s="12"/>
      <c r="D376" s="12"/>
    </row>
    <row x14ac:dyDescent="0.25" r="377" customHeight="1" ht="15.75">
      <c r="A377" s="2"/>
      <c r="B377" s="12"/>
      <c r="C377" s="12"/>
      <c r="D377" s="12"/>
    </row>
    <row x14ac:dyDescent="0.25" r="378" customHeight="1" ht="15.75">
      <c r="A378" s="2"/>
      <c r="B378" s="12"/>
      <c r="C378" s="12"/>
      <c r="D378" s="12"/>
    </row>
    <row x14ac:dyDescent="0.25" r="379" customHeight="1" ht="15.75">
      <c r="A379" s="2"/>
      <c r="B379" s="12"/>
      <c r="C379" s="12"/>
      <c r="D379" s="12"/>
    </row>
    <row x14ac:dyDescent="0.25" r="380" customHeight="1" ht="15.75">
      <c r="A380" s="2"/>
      <c r="B380" s="12"/>
      <c r="C380" s="12"/>
      <c r="D380" s="12"/>
    </row>
    <row x14ac:dyDescent="0.25" r="381" customHeight="1" ht="15.75">
      <c r="A381" s="2"/>
      <c r="B381" s="12"/>
      <c r="C381" s="12"/>
      <c r="D381" s="12"/>
    </row>
    <row x14ac:dyDescent="0.25" r="382" customHeight="1" ht="15.75">
      <c r="A382" s="2"/>
      <c r="B382" s="12"/>
      <c r="C382" s="12"/>
      <c r="D382" s="12"/>
    </row>
    <row x14ac:dyDescent="0.25" r="383" customHeight="1" ht="15.75">
      <c r="A383" s="2"/>
      <c r="B383" s="12"/>
      <c r="C383" s="12"/>
      <c r="D383" s="12"/>
    </row>
    <row x14ac:dyDescent="0.25" r="384" customHeight="1" ht="15.75">
      <c r="A384" s="2"/>
      <c r="B384" s="12"/>
      <c r="C384" s="12"/>
      <c r="D384" s="12"/>
    </row>
    <row x14ac:dyDescent="0.25" r="385" customHeight="1" ht="15.75">
      <c r="A385" s="2"/>
      <c r="B385" s="12"/>
      <c r="C385" s="12"/>
      <c r="D385" s="12"/>
    </row>
    <row x14ac:dyDescent="0.25" r="386" customHeight="1" ht="15.75">
      <c r="A386" s="2"/>
      <c r="B386" s="12"/>
      <c r="C386" s="12"/>
      <c r="D386" s="12"/>
    </row>
    <row x14ac:dyDescent="0.25" r="387" customHeight="1" ht="15.75">
      <c r="A387" s="2"/>
      <c r="B387" s="12"/>
      <c r="C387" s="12"/>
      <c r="D387" s="12"/>
    </row>
    <row x14ac:dyDescent="0.25" r="388" customHeight="1" ht="15.75">
      <c r="A388" s="2"/>
      <c r="B388" s="12"/>
      <c r="C388" s="12"/>
      <c r="D388" s="12"/>
    </row>
    <row x14ac:dyDescent="0.25" r="389" customHeight="1" ht="15.75">
      <c r="A389" s="2"/>
      <c r="B389" s="12"/>
      <c r="C389" s="12"/>
      <c r="D389" s="12"/>
    </row>
    <row x14ac:dyDescent="0.25" r="390" customHeight="1" ht="15.75">
      <c r="A390" s="2"/>
      <c r="B390" s="12"/>
      <c r="C390" s="12"/>
      <c r="D390" s="12"/>
    </row>
    <row x14ac:dyDescent="0.25" r="391" customHeight="1" ht="15.75">
      <c r="A391" s="2"/>
      <c r="B391" s="12"/>
      <c r="C391" s="12"/>
      <c r="D391" s="12"/>
    </row>
    <row x14ac:dyDescent="0.25" r="392" customHeight="1" ht="15.75">
      <c r="A392" s="2"/>
      <c r="B392" s="12"/>
      <c r="C392" s="12"/>
      <c r="D392" s="12"/>
    </row>
    <row x14ac:dyDescent="0.25" r="393" customHeight="1" ht="15.75">
      <c r="A393" s="2"/>
      <c r="B393" s="12"/>
      <c r="C393" s="12"/>
      <c r="D393" s="12"/>
    </row>
    <row x14ac:dyDescent="0.25" r="394" customHeight="1" ht="15.75">
      <c r="A394" s="2"/>
      <c r="B394" s="12"/>
      <c r="C394" s="12"/>
      <c r="D394" s="12"/>
    </row>
    <row x14ac:dyDescent="0.25" r="395" customHeight="1" ht="15.75">
      <c r="A395" s="2"/>
      <c r="B395" s="12"/>
      <c r="C395" s="12"/>
      <c r="D395" s="12"/>
    </row>
    <row x14ac:dyDescent="0.25" r="396" customHeight="1" ht="15.75">
      <c r="A396" s="2"/>
      <c r="B396" s="12"/>
      <c r="C396" s="12"/>
      <c r="D396" s="12"/>
    </row>
    <row x14ac:dyDescent="0.25" r="397" customHeight="1" ht="15.75">
      <c r="A397" s="2"/>
      <c r="B397" s="12"/>
      <c r="C397" s="12"/>
      <c r="D397" s="12"/>
    </row>
    <row x14ac:dyDescent="0.25" r="398" customHeight="1" ht="15.75">
      <c r="A398" s="2"/>
      <c r="B398" s="12"/>
      <c r="C398" s="12"/>
      <c r="D398" s="12"/>
    </row>
    <row x14ac:dyDescent="0.25" r="399" customHeight="1" ht="15.75">
      <c r="A399" s="2"/>
      <c r="B399" s="12"/>
      <c r="C399" s="12"/>
      <c r="D399" s="12"/>
    </row>
    <row x14ac:dyDescent="0.25" r="400" customHeight="1" ht="15.75">
      <c r="A400" s="2"/>
      <c r="B400" s="12"/>
      <c r="C400" s="12"/>
      <c r="D400" s="12"/>
    </row>
    <row x14ac:dyDescent="0.25" r="401" customHeight="1" ht="15.75">
      <c r="A401" s="2"/>
      <c r="B401" s="12"/>
      <c r="C401" s="12"/>
      <c r="D401" s="12"/>
    </row>
    <row x14ac:dyDescent="0.25" r="402" customHeight="1" ht="15.75">
      <c r="A402" s="2"/>
      <c r="B402" s="12"/>
      <c r="C402" s="12"/>
      <c r="D402" s="12"/>
    </row>
    <row x14ac:dyDescent="0.25" r="403" customHeight="1" ht="15.75">
      <c r="A403" s="2"/>
      <c r="B403" s="12"/>
      <c r="C403" s="12"/>
      <c r="D403" s="12"/>
    </row>
    <row x14ac:dyDescent="0.25" r="404" customHeight="1" ht="15.75">
      <c r="A404" s="2"/>
      <c r="B404" s="12"/>
      <c r="C404" s="12"/>
      <c r="D404" s="12"/>
    </row>
    <row x14ac:dyDescent="0.25" r="405" customHeight="1" ht="15.75">
      <c r="A405" s="2"/>
      <c r="B405" s="12"/>
      <c r="C405" s="12"/>
      <c r="D405" s="12"/>
    </row>
    <row x14ac:dyDescent="0.25" r="406" customHeight="1" ht="15.75">
      <c r="A406" s="2"/>
      <c r="B406" s="12"/>
      <c r="C406" s="12"/>
      <c r="D406" s="12"/>
    </row>
    <row x14ac:dyDescent="0.25" r="407" customHeight="1" ht="15.75">
      <c r="A407" s="2"/>
      <c r="B407" s="12"/>
      <c r="C407" s="12"/>
      <c r="D407" s="12"/>
    </row>
    <row x14ac:dyDescent="0.25" r="408" customHeight="1" ht="15.75">
      <c r="A408" s="2"/>
      <c r="B408" s="12"/>
      <c r="C408" s="12"/>
      <c r="D408" s="12"/>
    </row>
    <row x14ac:dyDescent="0.25" r="409" customHeight="1" ht="15.75">
      <c r="A409" s="2"/>
      <c r="B409" s="12"/>
      <c r="C409" s="12"/>
      <c r="D409" s="12"/>
    </row>
    <row x14ac:dyDescent="0.25" r="410" customHeight="1" ht="15.75">
      <c r="A410" s="2"/>
      <c r="B410" s="12"/>
      <c r="C410" s="12"/>
      <c r="D410" s="12"/>
    </row>
    <row x14ac:dyDescent="0.25" r="411" customHeight="1" ht="15.75">
      <c r="A411" s="2"/>
      <c r="B411" s="12"/>
      <c r="C411" s="12"/>
      <c r="D411" s="12"/>
    </row>
    <row x14ac:dyDescent="0.25" r="412" customHeight="1" ht="15.75">
      <c r="A412" s="2"/>
      <c r="B412" s="12"/>
      <c r="C412" s="12"/>
      <c r="D412" s="12"/>
    </row>
    <row x14ac:dyDescent="0.25" r="413" customHeight="1" ht="15.75">
      <c r="A413" s="2"/>
      <c r="B413" s="12"/>
      <c r="C413" s="12"/>
      <c r="D413" s="12"/>
    </row>
    <row x14ac:dyDescent="0.25" r="414" customHeight="1" ht="15.75">
      <c r="A414" s="2"/>
      <c r="B414" s="12"/>
      <c r="C414" s="12"/>
      <c r="D414" s="12"/>
    </row>
    <row x14ac:dyDescent="0.25" r="415" customHeight="1" ht="15.75">
      <c r="A415" s="2"/>
      <c r="B415" s="12"/>
      <c r="C415" s="12"/>
      <c r="D415" s="12"/>
    </row>
    <row x14ac:dyDescent="0.25" r="416" customHeight="1" ht="15.75">
      <c r="A416" s="2"/>
      <c r="B416" s="12"/>
      <c r="C416" s="12"/>
      <c r="D416" s="12"/>
    </row>
    <row x14ac:dyDescent="0.25" r="417" customHeight="1" ht="15.75">
      <c r="A417" s="2"/>
      <c r="B417" s="12"/>
      <c r="C417" s="12"/>
      <c r="D417" s="12"/>
    </row>
    <row x14ac:dyDescent="0.25" r="418" customHeight="1" ht="15.75">
      <c r="A418" s="2"/>
      <c r="B418" s="12"/>
      <c r="C418" s="12"/>
      <c r="D418" s="12"/>
    </row>
    <row x14ac:dyDescent="0.25" r="419" customHeight="1" ht="15.75">
      <c r="A419" s="2"/>
      <c r="B419" s="12"/>
      <c r="C419" s="12"/>
      <c r="D419" s="12"/>
    </row>
    <row x14ac:dyDescent="0.25" r="420" customHeight="1" ht="15.75">
      <c r="A420" s="2"/>
      <c r="B420" s="12"/>
      <c r="C420" s="12"/>
      <c r="D420" s="12"/>
    </row>
    <row x14ac:dyDescent="0.25" r="421" customHeight="1" ht="15.75">
      <c r="A421" s="2"/>
      <c r="B421" s="12"/>
      <c r="C421" s="12"/>
      <c r="D421" s="12"/>
    </row>
    <row x14ac:dyDescent="0.25" r="422" customHeight="1" ht="15.75">
      <c r="A422" s="2"/>
      <c r="B422" s="12"/>
      <c r="C422" s="12"/>
      <c r="D422" s="12"/>
    </row>
    <row x14ac:dyDescent="0.25" r="423" customHeight="1" ht="15.75">
      <c r="A423" s="2"/>
      <c r="B423" s="12"/>
      <c r="C423" s="12"/>
      <c r="D423" s="12"/>
    </row>
    <row x14ac:dyDescent="0.25" r="424" customHeight="1" ht="15.75">
      <c r="A424" s="2"/>
      <c r="B424" s="12"/>
      <c r="C424" s="12"/>
      <c r="D424" s="12"/>
    </row>
    <row x14ac:dyDescent="0.25" r="425" customHeight="1" ht="15.75">
      <c r="A425" s="2"/>
      <c r="B425" s="12"/>
      <c r="C425" s="12"/>
      <c r="D425" s="12"/>
    </row>
    <row x14ac:dyDescent="0.25" r="426" customHeight="1" ht="15.75">
      <c r="A426" s="2"/>
      <c r="B426" s="12"/>
      <c r="C426" s="12"/>
      <c r="D426" s="12"/>
    </row>
    <row x14ac:dyDescent="0.25" r="427" customHeight="1" ht="15.75">
      <c r="A427" s="2"/>
      <c r="B427" s="12"/>
      <c r="C427" s="12"/>
      <c r="D427" s="12"/>
    </row>
    <row x14ac:dyDescent="0.25" r="428" customHeight="1" ht="15.75">
      <c r="A428" s="2"/>
      <c r="B428" s="12"/>
      <c r="C428" s="12"/>
      <c r="D428" s="12"/>
    </row>
    <row x14ac:dyDescent="0.25" r="429" customHeight="1" ht="15.75">
      <c r="A429" s="2"/>
      <c r="B429" s="12"/>
      <c r="C429" s="12"/>
      <c r="D429" s="12"/>
    </row>
    <row x14ac:dyDescent="0.25" r="430" customHeight="1" ht="15.75">
      <c r="A430" s="2"/>
      <c r="B430" s="12"/>
      <c r="C430" s="12"/>
      <c r="D430" s="12"/>
    </row>
    <row x14ac:dyDescent="0.25" r="431" customHeight="1" ht="15.75">
      <c r="A431" s="2"/>
      <c r="B431" s="12"/>
      <c r="C431" s="12"/>
      <c r="D431" s="12"/>
    </row>
    <row x14ac:dyDescent="0.25" r="432" customHeight="1" ht="15.75">
      <c r="A432" s="2"/>
      <c r="B432" s="12"/>
      <c r="C432" s="12"/>
      <c r="D432" s="12"/>
    </row>
    <row x14ac:dyDescent="0.25" r="433" customHeight="1" ht="15.75">
      <c r="A433" s="2"/>
      <c r="B433" s="12"/>
      <c r="C433" s="12"/>
      <c r="D433" s="12"/>
    </row>
    <row x14ac:dyDescent="0.25" r="434" customHeight="1" ht="15.75">
      <c r="A434" s="2"/>
      <c r="B434" s="12"/>
      <c r="C434" s="12"/>
      <c r="D434" s="12"/>
    </row>
    <row x14ac:dyDescent="0.25" r="435" customHeight="1" ht="15.75">
      <c r="A435" s="2"/>
      <c r="B435" s="12"/>
      <c r="C435" s="12"/>
      <c r="D435" s="12"/>
    </row>
    <row x14ac:dyDescent="0.25" r="436" customHeight="1" ht="15.75">
      <c r="A436" s="2"/>
      <c r="B436" s="12"/>
      <c r="C436" s="12"/>
      <c r="D436" s="12"/>
    </row>
    <row x14ac:dyDescent="0.25" r="437" customHeight="1" ht="15.75">
      <c r="A437" s="2"/>
      <c r="B437" s="12"/>
      <c r="C437" s="12"/>
      <c r="D437" s="12"/>
    </row>
    <row x14ac:dyDescent="0.25" r="438" customHeight="1" ht="15.75">
      <c r="A438" s="2"/>
      <c r="B438" s="12"/>
      <c r="C438" s="12"/>
      <c r="D438" s="12"/>
    </row>
    <row x14ac:dyDescent="0.25" r="439" customHeight="1" ht="15.75">
      <c r="A439" s="2"/>
      <c r="B439" s="12"/>
      <c r="C439" s="12"/>
      <c r="D439" s="12"/>
    </row>
    <row x14ac:dyDescent="0.25" r="440" customHeight="1" ht="15.75">
      <c r="A440" s="2"/>
      <c r="B440" s="12"/>
      <c r="C440" s="12"/>
      <c r="D440" s="12"/>
    </row>
    <row x14ac:dyDescent="0.25" r="441" customHeight="1" ht="15.75">
      <c r="A441" s="2"/>
      <c r="B441" s="12"/>
      <c r="C441" s="12"/>
      <c r="D441" s="12"/>
    </row>
    <row x14ac:dyDescent="0.25" r="442" customHeight="1" ht="15.75">
      <c r="A442" s="2"/>
      <c r="B442" s="12"/>
      <c r="C442" s="12"/>
      <c r="D442" s="12"/>
    </row>
    <row x14ac:dyDescent="0.25" r="443" customHeight="1" ht="15.75">
      <c r="A443" s="2"/>
      <c r="B443" s="12"/>
      <c r="C443" s="12"/>
      <c r="D443" s="12"/>
    </row>
    <row x14ac:dyDescent="0.25" r="444" customHeight="1" ht="15.75">
      <c r="A444" s="2"/>
      <c r="B444" s="12"/>
      <c r="C444" s="12"/>
      <c r="D444" s="12"/>
    </row>
    <row x14ac:dyDescent="0.25" r="445" customHeight="1" ht="15.75">
      <c r="A445" s="2"/>
      <c r="B445" s="12"/>
      <c r="C445" s="12"/>
      <c r="D445" s="12"/>
    </row>
    <row x14ac:dyDescent="0.25" r="446" customHeight="1" ht="15.75">
      <c r="A446" s="2"/>
      <c r="B446" s="12"/>
      <c r="C446" s="12"/>
      <c r="D446" s="12"/>
    </row>
    <row x14ac:dyDescent="0.25" r="447" customHeight="1" ht="15.75">
      <c r="A447" s="2"/>
      <c r="B447" s="12"/>
      <c r="C447" s="12"/>
      <c r="D447" s="12"/>
    </row>
    <row x14ac:dyDescent="0.25" r="448" customHeight="1" ht="15.75">
      <c r="A448" s="2"/>
      <c r="B448" s="12"/>
      <c r="C448" s="12"/>
      <c r="D448" s="12"/>
    </row>
    <row x14ac:dyDescent="0.25" r="449" customHeight="1" ht="15.75">
      <c r="A449" s="2"/>
      <c r="B449" s="12"/>
      <c r="C449" s="12"/>
      <c r="D449" s="12"/>
    </row>
    <row x14ac:dyDescent="0.25" r="450" customHeight="1" ht="15.75">
      <c r="A450" s="2"/>
      <c r="B450" s="12"/>
      <c r="C450" s="12"/>
      <c r="D450" s="12"/>
    </row>
    <row x14ac:dyDescent="0.25" r="451" customHeight="1" ht="15.75">
      <c r="A451" s="2"/>
      <c r="B451" s="12"/>
      <c r="C451" s="12"/>
      <c r="D451" s="12"/>
    </row>
    <row x14ac:dyDescent="0.25" r="452" customHeight="1" ht="15.75">
      <c r="A452" s="2"/>
      <c r="B452" s="12"/>
      <c r="C452" s="12"/>
      <c r="D452" s="12"/>
    </row>
    <row x14ac:dyDescent="0.25" r="453" customHeight="1" ht="15.75">
      <c r="A453" s="2"/>
      <c r="B453" s="12"/>
      <c r="C453" s="12"/>
      <c r="D453" s="12"/>
    </row>
    <row x14ac:dyDescent="0.25" r="454" customHeight="1" ht="15.75">
      <c r="A454" s="2"/>
      <c r="B454" s="12"/>
      <c r="C454" s="12"/>
      <c r="D454" s="12"/>
    </row>
    <row x14ac:dyDescent="0.25" r="455" customHeight="1" ht="15.75">
      <c r="A455" s="2"/>
      <c r="B455" s="12"/>
      <c r="C455" s="12"/>
      <c r="D455" s="12"/>
    </row>
    <row x14ac:dyDescent="0.25" r="456" customHeight="1" ht="15.75">
      <c r="A456" s="2"/>
      <c r="B456" s="12"/>
      <c r="C456" s="12"/>
      <c r="D456" s="12"/>
    </row>
    <row x14ac:dyDescent="0.25" r="457" customHeight="1" ht="15.75">
      <c r="A457" s="2"/>
      <c r="B457" s="12"/>
      <c r="C457" s="12"/>
      <c r="D457" s="12"/>
    </row>
    <row x14ac:dyDescent="0.25" r="458" customHeight="1" ht="15.75">
      <c r="A458" s="2"/>
      <c r="B458" s="12"/>
      <c r="C458" s="12"/>
      <c r="D458" s="12"/>
    </row>
    <row x14ac:dyDescent="0.25" r="459" customHeight="1" ht="15.75">
      <c r="A459" s="2"/>
      <c r="B459" s="12"/>
      <c r="C459" s="12"/>
      <c r="D459" s="12"/>
    </row>
    <row x14ac:dyDescent="0.25" r="460" customHeight="1" ht="15.75">
      <c r="A460" s="2"/>
      <c r="B460" s="12"/>
      <c r="C460" s="12"/>
      <c r="D460" s="12"/>
    </row>
    <row x14ac:dyDescent="0.25" r="461" customHeight="1" ht="15.75">
      <c r="A461" s="2"/>
      <c r="B461" s="12"/>
      <c r="C461" s="12"/>
      <c r="D461" s="12"/>
    </row>
    <row x14ac:dyDescent="0.25" r="462" customHeight="1" ht="15.75">
      <c r="A462" s="2"/>
      <c r="B462" s="12"/>
      <c r="C462" s="12"/>
      <c r="D462" s="12"/>
    </row>
    <row x14ac:dyDescent="0.25" r="463" customHeight="1" ht="15.75">
      <c r="A463" s="2"/>
      <c r="B463" s="12"/>
      <c r="C463" s="12"/>
      <c r="D463" s="12"/>
    </row>
    <row x14ac:dyDescent="0.25" r="464" customHeight="1" ht="15.75">
      <c r="A464" s="2"/>
      <c r="B464" s="12"/>
      <c r="C464" s="12"/>
      <c r="D464" s="12"/>
    </row>
    <row x14ac:dyDescent="0.25" r="465" customHeight="1" ht="15.75">
      <c r="A465" s="2"/>
      <c r="B465" s="12"/>
      <c r="C465" s="12"/>
      <c r="D465" s="12"/>
    </row>
    <row x14ac:dyDescent="0.25" r="466" customHeight="1" ht="15.75">
      <c r="A466" s="2"/>
      <c r="B466" s="12"/>
      <c r="C466" s="12"/>
      <c r="D466" s="12"/>
    </row>
    <row x14ac:dyDescent="0.25" r="467" customHeight="1" ht="15.75">
      <c r="A467" s="2"/>
      <c r="B467" s="12"/>
      <c r="C467" s="12"/>
      <c r="D467" s="12"/>
    </row>
    <row x14ac:dyDescent="0.25" r="468" customHeight="1" ht="15.75">
      <c r="A468" s="2"/>
      <c r="B468" s="12"/>
      <c r="C468" s="12"/>
      <c r="D468" s="12"/>
    </row>
    <row x14ac:dyDescent="0.25" r="469" customHeight="1" ht="15.75">
      <c r="A469" s="2"/>
      <c r="B469" s="12"/>
      <c r="C469" s="12"/>
      <c r="D469" s="12"/>
    </row>
    <row x14ac:dyDescent="0.25" r="470" customHeight="1" ht="15.75">
      <c r="A470" s="2"/>
      <c r="B470" s="12"/>
      <c r="C470" s="12"/>
      <c r="D470" s="12"/>
    </row>
    <row x14ac:dyDescent="0.25" r="471" customHeight="1" ht="15.75">
      <c r="A471" s="2"/>
      <c r="B471" s="12"/>
      <c r="C471" s="12"/>
      <c r="D471" s="12"/>
    </row>
    <row x14ac:dyDescent="0.25" r="472" customHeight="1" ht="15.75">
      <c r="A472" s="2"/>
      <c r="B472" s="12"/>
      <c r="C472" s="12"/>
      <c r="D472" s="12"/>
    </row>
    <row x14ac:dyDescent="0.25" r="473" customHeight="1" ht="15.75">
      <c r="A473" s="2"/>
      <c r="B473" s="12"/>
      <c r="C473" s="12"/>
      <c r="D473" s="12"/>
    </row>
    <row x14ac:dyDescent="0.25" r="474" customHeight="1" ht="15.75">
      <c r="A474" s="2"/>
      <c r="B474" s="12"/>
      <c r="C474" s="12"/>
      <c r="D474" s="12"/>
    </row>
    <row x14ac:dyDescent="0.25" r="475" customHeight="1" ht="15.75">
      <c r="A475" s="2"/>
      <c r="B475" s="12"/>
      <c r="C475" s="12"/>
      <c r="D475" s="12"/>
    </row>
    <row x14ac:dyDescent="0.25" r="476" customHeight="1" ht="15.75">
      <c r="A476" s="2"/>
      <c r="B476" s="12"/>
      <c r="C476" s="12"/>
      <c r="D476" s="12"/>
    </row>
    <row x14ac:dyDescent="0.25" r="477" customHeight="1" ht="15.75">
      <c r="A477" s="2"/>
      <c r="B477" s="12"/>
      <c r="C477" s="12"/>
      <c r="D477" s="12"/>
    </row>
    <row x14ac:dyDescent="0.25" r="478" customHeight="1" ht="15.75">
      <c r="A478" s="2"/>
      <c r="B478" s="12"/>
      <c r="C478" s="12"/>
      <c r="D478" s="12"/>
    </row>
    <row x14ac:dyDescent="0.25" r="479" customHeight="1" ht="15.75">
      <c r="A479" s="2"/>
      <c r="B479" s="12"/>
      <c r="C479" s="12"/>
      <c r="D479" s="12"/>
    </row>
    <row x14ac:dyDescent="0.25" r="480" customHeight="1" ht="15.75">
      <c r="A480" s="2"/>
      <c r="B480" s="12"/>
      <c r="C480" s="12"/>
      <c r="D480" s="12"/>
    </row>
    <row x14ac:dyDescent="0.25" r="481" customHeight="1" ht="15.75">
      <c r="A481" s="2"/>
      <c r="B481" s="12"/>
      <c r="C481" s="12"/>
      <c r="D481" s="12"/>
    </row>
    <row x14ac:dyDescent="0.25" r="482" customHeight="1" ht="15.75">
      <c r="A482" s="2"/>
      <c r="B482" s="12"/>
      <c r="C482" s="12"/>
      <c r="D482" s="12"/>
    </row>
    <row x14ac:dyDescent="0.25" r="483" customHeight="1" ht="15.75">
      <c r="A483" s="2"/>
      <c r="B483" s="12"/>
      <c r="C483" s="12"/>
      <c r="D483" s="12"/>
    </row>
    <row x14ac:dyDescent="0.25" r="484" customHeight="1" ht="15.75">
      <c r="A484" s="2"/>
      <c r="B484" s="12"/>
      <c r="C484" s="12"/>
      <c r="D484" s="12"/>
    </row>
    <row x14ac:dyDescent="0.25" r="485" customHeight="1" ht="15.75">
      <c r="A485" s="2"/>
      <c r="B485" s="12"/>
      <c r="C485" s="12"/>
      <c r="D485" s="12"/>
    </row>
    <row x14ac:dyDescent="0.25" r="486" customHeight="1" ht="15.75">
      <c r="A486" s="2"/>
      <c r="B486" s="12"/>
      <c r="C486" s="12"/>
      <c r="D486" s="12"/>
    </row>
    <row x14ac:dyDescent="0.25" r="487" customHeight="1" ht="15.75">
      <c r="A487" s="2"/>
      <c r="B487" s="12"/>
      <c r="C487" s="12"/>
      <c r="D487" s="12"/>
    </row>
    <row x14ac:dyDescent="0.25" r="488" customHeight="1" ht="15.75">
      <c r="A488" s="2"/>
      <c r="B488" s="12"/>
      <c r="C488" s="12"/>
      <c r="D488" s="12"/>
    </row>
    <row x14ac:dyDescent="0.25" r="489" customHeight="1" ht="15.75">
      <c r="A489" s="2"/>
      <c r="B489" s="12"/>
      <c r="C489" s="12"/>
      <c r="D489" s="12"/>
    </row>
    <row x14ac:dyDescent="0.25" r="490" customHeight="1" ht="15.75">
      <c r="A490" s="2"/>
      <c r="B490" s="12"/>
      <c r="C490" s="12"/>
      <c r="D490" s="12"/>
    </row>
    <row x14ac:dyDescent="0.25" r="491" customHeight="1" ht="15.75">
      <c r="A491" s="2"/>
      <c r="B491" s="12"/>
      <c r="C491" s="12"/>
      <c r="D491" s="12"/>
    </row>
    <row x14ac:dyDescent="0.25" r="492" customHeight="1" ht="15.75">
      <c r="A492" s="2"/>
      <c r="B492" s="12"/>
      <c r="C492" s="12"/>
      <c r="D492" s="12"/>
    </row>
    <row x14ac:dyDescent="0.25" r="493" customHeight="1" ht="15.75">
      <c r="A493" s="2"/>
      <c r="B493" s="12"/>
      <c r="C493" s="12"/>
      <c r="D493" s="12"/>
    </row>
    <row x14ac:dyDescent="0.25" r="494" customHeight="1" ht="15.75">
      <c r="A494" s="2"/>
      <c r="B494" s="12"/>
      <c r="C494" s="12"/>
      <c r="D494" s="12"/>
    </row>
    <row x14ac:dyDescent="0.25" r="495" customHeight="1" ht="15.75">
      <c r="A495" s="2"/>
      <c r="B495" s="12"/>
      <c r="C495" s="12"/>
      <c r="D495" s="12"/>
    </row>
    <row x14ac:dyDescent="0.25" r="496" customHeight="1" ht="15.75">
      <c r="A496" s="2"/>
      <c r="B496" s="12"/>
      <c r="C496" s="12"/>
      <c r="D496" s="12"/>
    </row>
    <row x14ac:dyDescent="0.25" r="497" customHeight="1" ht="15.75">
      <c r="A497" s="2"/>
      <c r="B497" s="12"/>
      <c r="C497" s="12"/>
      <c r="D497" s="12"/>
    </row>
    <row x14ac:dyDescent="0.25" r="498" customHeight="1" ht="15.75">
      <c r="A498" s="2"/>
      <c r="B498" s="12"/>
      <c r="C498" s="12"/>
      <c r="D498" s="12"/>
    </row>
    <row x14ac:dyDescent="0.25" r="499" customHeight="1" ht="15.75">
      <c r="A499" s="2"/>
      <c r="B499" s="12"/>
      <c r="C499" s="12"/>
      <c r="D499" s="12"/>
    </row>
    <row x14ac:dyDescent="0.25" r="500" customHeight="1" ht="15.75">
      <c r="A500" s="2"/>
      <c r="B500" s="12"/>
      <c r="C500" s="12"/>
      <c r="D500" s="12"/>
    </row>
    <row x14ac:dyDescent="0.25" r="501" customHeight="1" ht="15.75">
      <c r="A501" s="2"/>
      <c r="B501" s="12"/>
      <c r="C501" s="12"/>
      <c r="D501" s="12"/>
    </row>
    <row x14ac:dyDescent="0.25" r="502" customHeight="1" ht="15.75">
      <c r="A502" s="2"/>
      <c r="B502" s="12"/>
      <c r="C502" s="12"/>
      <c r="D502" s="12"/>
    </row>
    <row x14ac:dyDescent="0.25" r="503" customHeight="1" ht="15.75">
      <c r="A503" s="2"/>
      <c r="B503" s="12"/>
      <c r="C503" s="12"/>
      <c r="D503" s="12"/>
    </row>
    <row x14ac:dyDescent="0.25" r="504" customHeight="1" ht="15.75">
      <c r="A504" s="2"/>
      <c r="B504" s="12"/>
      <c r="C504" s="12"/>
      <c r="D504" s="12"/>
    </row>
    <row x14ac:dyDescent="0.25" r="505" customHeight="1" ht="15.75">
      <c r="A505" s="2"/>
      <c r="B505" s="12"/>
      <c r="C505" s="12"/>
      <c r="D505" s="12"/>
    </row>
    <row x14ac:dyDescent="0.25" r="506" customHeight="1" ht="15.75">
      <c r="A506" s="2"/>
      <c r="B506" s="12"/>
      <c r="C506" s="12"/>
      <c r="D506" s="12"/>
    </row>
    <row x14ac:dyDescent="0.25" r="507" customHeight="1" ht="15.75">
      <c r="A507" s="2"/>
      <c r="B507" s="12"/>
      <c r="C507" s="12"/>
      <c r="D507" s="12"/>
    </row>
    <row x14ac:dyDescent="0.25" r="508" customHeight="1" ht="15.75">
      <c r="A508" s="2"/>
      <c r="B508" s="12"/>
      <c r="C508" s="12"/>
      <c r="D508" s="12"/>
    </row>
    <row x14ac:dyDescent="0.25" r="509" customHeight="1" ht="15.75">
      <c r="A509" s="2"/>
      <c r="B509" s="12"/>
      <c r="C509" s="12"/>
      <c r="D509" s="12"/>
    </row>
    <row x14ac:dyDescent="0.25" r="510" customHeight="1" ht="15.75">
      <c r="A510" s="2"/>
      <c r="B510" s="12"/>
      <c r="C510" s="12"/>
      <c r="D510" s="12"/>
    </row>
    <row x14ac:dyDescent="0.25" r="511" customHeight="1" ht="15.75">
      <c r="A511" s="2"/>
      <c r="B511" s="12"/>
      <c r="C511" s="12"/>
      <c r="D511" s="12"/>
    </row>
    <row x14ac:dyDescent="0.25" r="512" customHeight="1" ht="15.75">
      <c r="A512" s="2"/>
      <c r="B512" s="12"/>
      <c r="C512" s="12"/>
      <c r="D512" s="12"/>
    </row>
    <row x14ac:dyDescent="0.25" r="513" customHeight="1" ht="15.75">
      <c r="A513" s="2"/>
      <c r="B513" s="12"/>
      <c r="C513" s="12"/>
      <c r="D513" s="12"/>
    </row>
    <row x14ac:dyDescent="0.25" r="514" customHeight="1" ht="15.75">
      <c r="A514" s="2"/>
      <c r="B514" s="12"/>
      <c r="C514" s="12"/>
      <c r="D514" s="12"/>
    </row>
    <row x14ac:dyDescent="0.25" r="515" customHeight="1" ht="15.75">
      <c r="A515" s="2"/>
      <c r="B515" s="12"/>
      <c r="C515" s="12"/>
      <c r="D515" s="12"/>
    </row>
    <row x14ac:dyDescent="0.25" r="516" customHeight="1" ht="15.75">
      <c r="A516" s="2"/>
      <c r="B516" s="12"/>
      <c r="C516" s="12"/>
      <c r="D516" s="12"/>
    </row>
    <row x14ac:dyDescent="0.25" r="517" customHeight="1" ht="15.75">
      <c r="A517" s="2"/>
      <c r="B517" s="12"/>
      <c r="C517" s="12"/>
      <c r="D517" s="12"/>
    </row>
    <row x14ac:dyDescent="0.25" r="518" customHeight="1" ht="15.75">
      <c r="A518" s="2"/>
      <c r="B518" s="12"/>
      <c r="C518" s="12"/>
      <c r="D518" s="12"/>
    </row>
    <row x14ac:dyDescent="0.25" r="519" customHeight="1" ht="15.75">
      <c r="A519" s="2"/>
      <c r="B519" s="12"/>
      <c r="C519" s="12"/>
      <c r="D519" s="12"/>
    </row>
    <row x14ac:dyDescent="0.25" r="520" customHeight="1" ht="15.75">
      <c r="A520" s="2"/>
      <c r="B520" s="12"/>
      <c r="C520" s="12"/>
      <c r="D520" s="12"/>
    </row>
    <row x14ac:dyDescent="0.25" r="521" customHeight="1" ht="15.75">
      <c r="A521" s="2"/>
      <c r="B521" s="12"/>
      <c r="C521" s="12"/>
      <c r="D521" s="12"/>
    </row>
    <row x14ac:dyDescent="0.25" r="522" customHeight="1" ht="15.75">
      <c r="A522" s="2"/>
      <c r="B522" s="12"/>
      <c r="C522" s="12"/>
      <c r="D522" s="12"/>
    </row>
    <row x14ac:dyDescent="0.25" r="523" customHeight="1" ht="15.75">
      <c r="A523" s="2"/>
      <c r="B523" s="12"/>
      <c r="C523" s="12"/>
      <c r="D523" s="12"/>
    </row>
    <row x14ac:dyDescent="0.25" r="524" customHeight="1" ht="15.75">
      <c r="A524" s="2"/>
      <c r="B524" s="12"/>
      <c r="C524" s="12"/>
      <c r="D524" s="12"/>
    </row>
    <row x14ac:dyDescent="0.25" r="525" customHeight="1" ht="15.75">
      <c r="A525" s="2"/>
      <c r="B525" s="12"/>
      <c r="C525" s="12"/>
      <c r="D525" s="12"/>
    </row>
    <row x14ac:dyDescent="0.25" r="526" customHeight="1" ht="15.75">
      <c r="A526" s="2"/>
      <c r="B526" s="12"/>
      <c r="C526" s="12"/>
      <c r="D526" s="12"/>
    </row>
    <row x14ac:dyDescent="0.25" r="527" customHeight="1" ht="15.75">
      <c r="A527" s="2"/>
      <c r="B527" s="12"/>
      <c r="C527" s="12"/>
      <c r="D527" s="12"/>
    </row>
    <row x14ac:dyDescent="0.25" r="528" customHeight="1" ht="15.75">
      <c r="A528" s="2"/>
      <c r="B528" s="12"/>
      <c r="C528" s="12"/>
      <c r="D528" s="12"/>
    </row>
    <row x14ac:dyDescent="0.25" r="529" customHeight="1" ht="15.75">
      <c r="A529" s="2"/>
      <c r="B529" s="12"/>
      <c r="C529" s="12"/>
      <c r="D529" s="12"/>
    </row>
    <row x14ac:dyDescent="0.25" r="530" customHeight="1" ht="15.75">
      <c r="A530" s="2"/>
      <c r="B530" s="12"/>
      <c r="C530" s="12"/>
      <c r="D530" s="12"/>
    </row>
    <row x14ac:dyDescent="0.25" r="531" customHeight="1" ht="15.75">
      <c r="A531" s="2"/>
      <c r="B531" s="12"/>
      <c r="C531" s="12"/>
      <c r="D531" s="12"/>
    </row>
    <row x14ac:dyDescent="0.25" r="532" customHeight="1" ht="15.75">
      <c r="A532" s="2"/>
      <c r="B532" s="12"/>
      <c r="C532" s="12"/>
      <c r="D532" s="12"/>
    </row>
    <row x14ac:dyDescent="0.25" r="533" customHeight="1" ht="15.75">
      <c r="A533" s="2"/>
      <c r="B533" s="12"/>
      <c r="C533" s="12"/>
      <c r="D533" s="12"/>
    </row>
    <row x14ac:dyDescent="0.25" r="534" customHeight="1" ht="15.75">
      <c r="A534" s="2"/>
      <c r="B534" s="12"/>
      <c r="C534" s="12"/>
      <c r="D534" s="12"/>
    </row>
    <row x14ac:dyDescent="0.25" r="535" customHeight="1" ht="15.75">
      <c r="A535" s="2"/>
      <c r="B535" s="12"/>
      <c r="C535" s="12"/>
      <c r="D535" s="12"/>
    </row>
    <row x14ac:dyDescent="0.25" r="536" customHeight="1" ht="15.75">
      <c r="A536" s="2"/>
      <c r="B536" s="12"/>
      <c r="C536" s="12"/>
      <c r="D536" s="12"/>
    </row>
    <row x14ac:dyDescent="0.25" r="537" customHeight="1" ht="15.75">
      <c r="A537" s="2"/>
      <c r="B537" s="12"/>
      <c r="C537" s="12"/>
      <c r="D537" s="12"/>
    </row>
    <row x14ac:dyDescent="0.25" r="538" customHeight="1" ht="15.75">
      <c r="A538" s="2"/>
      <c r="B538" s="12"/>
      <c r="C538" s="12"/>
      <c r="D538" s="12"/>
    </row>
    <row x14ac:dyDescent="0.25" r="539" customHeight="1" ht="15.75">
      <c r="A539" s="2"/>
      <c r="B539" s="12"/>
      <c r="C539" s="12"/>
      <c r="D539" s="12"/>
    </row>
    <row x14ac:dyDescent="0.25" r="540" customHeight="1" ht="15.75">
      <c r="A540" s="2"/>
      <c r="B540" s="12"/>
      <c r="C540" s="12"/>
      <c r="D540" s="12"/>
    </row>
    <row x14ac:dyDescent="0.25" r="541" customHeight="1" ht="15.75">
      <c r="A541" s="2"/>
      <c r="B541" s="12"/>
      <c r="C541" s="12"/>
      <c r="D541" s="12"/>
    </row>
    <row x14ac:dyDescent="0.25" r="542" customHeight="1" ht="15.75">
      <c r="A542" s="2"/>
      <c r="B542" s="12"/>
      <c r="C542" s="12"/>
      <c r="D542" s="12"/>
    </row>
    <row x14ac:dyDescent="0.25" r="543" customHeight="1" ht="15.75">
      <c r="A543" s="2"/>
      <c r="B543" s="12"/>
      <c r="C543" s="12"/>
      <c r="D543" s="12"/>
    </row>
    <row x14ac:dyDescent="0.25" r="544" customHeight="1" ht="15.75">
      <c r="A544" s="2"/>
      <c r="B544" s="12"/>
      <c r="C544" s="12"/>
      <c r="D544" s="12"/>
    </row>
    <row x14ac:dyDescent="0.25" r="545" customHeight="1" ht="15.75">
      <c r="A545" s="2"/>
      <c r="B545" s="12"/>
      <c r="C545" s="12"/>
      <c r="D545" s="12"/>
    </row>
    <row x14ac:dyDescent="0.25" r="546" customHeight="1" ht="15.75">
      <c r="A546" s="2"/>
      <c r="B546" s="12"/>
      <c r="C546" s="12"/>
      <c r="D546" s="12"/>
    </row>
    <row x14ac:dyDescent="0.25" r="547" customHeight="1" ht="15.75">
      <c r="A547" s="2"/>
      <c r="B547" s="12"/>
      <c r="C547" s="12"/>
      <c r="D547" s="12"/>
    </row>
    <row x14ac:dyDescent="0.25" r="548" customHeight="1" ht="15.75">
      <c r="A548" s="2"/>
      <c r="B548" s="12"/>
      <c r="C548" s="12"/>
      <c r="D548" s="12"/>
    </row>
    <row x14ac:dyDescent="0.25" r="549" customHeight="1" ht="15.75">
      <c r="A549" s="2"/>
      <c r="B549" s="12"/>
      <c r="C549" s="12"/>
      <c r="D549" s="12"/>
    </row>
    <row x14ac:dyDescent="0.25" r="550" customHeight="1" ht="15.75">
      <c r="A550" s="2"/>
      <c r="B550" s="12"/>
      <c r="C550" s="12"/>
      <c r="D550" s="12"/>
    </row>
    <row x14ac:dyDescent="0.25" r="551" customHeight="1" ht="15.75">
      <c r="A551" s="2"/>
      <c r="B551" s="12"/>
      <c r="C551" s="12"/>
      <c r="D551" s="12"/>
    </row>
    <row x14ac:dyDescent="0.25" r="552" customHeight="1" ht="15.75">
      <c r="A552" s="2"/>
      <c r="B552" s="12"/>
      <c r="C552" s="12"/>
      <c r="D552" s="12"/>
    </row>
    <row x14ac:dyDescent="0.25" r="553" customHeight="1" ht="15.75">
      <c r="A553" s="2"/>
      <c r="B553" s="12"/>
      <c r="C553" s="12"/>
      <c r="D553" s="12"/>
    </row>
    <row x14ac:dyDescent="0.25" r="554" customHeight="1" ht="15.75">
      <c r="A554" s="2"/>
      <c r="B554" s="12"/>
      <c r="C554" s="12"/>
      <c r="D554" s="12"/>
    </row>
    <row x14ac:dyDescent="0.25" r="555" customHeight="1" ht="15.75">
      <c r="A555" s="2"/>
      <c r="B555" s="12"/>
      <c r="C555" s="12"/>
      <c r="D555" s="12"/>
    </row>
    <row x14ac:dyDescent="0.25" r="556" customHeight="1" ht="15.75">
      <c r="A556" s="2"/>
      <c r="B556" s="12"/>
      <c r="C556" s="12"/>
      <c r="D556" s="12"/>
    </row>
    <row x14ac:dyDescent="0.25" r="557" customHeight="1" ht="15.75">
      <c r="A557" s="2"/>
      <c r="B557" s="12"/>
      <c r="C557" s="12"/>
      <c r="D557" s="12"/>
    </row>
    <row x14ac:dyDescent="0.25" r="558" customHeight="1" ht="15.75">
      <c r="A558" s="2"/>
      <c r="B558" s="12"/>
      <c r="C558" s="12"/>
      <c r="D558" s="12"/>
    </row>
    <row x14ac:dyDescent="0.25" r="559" customHeight="1" ht="15.75">
      <c r="A559" s="2"/>
      <c r="B559" s="12"/>
      <c r="C559" s="12"/>
      <c r="D559" s="12"/>
    </row>
    <row x14ac:dyDescent="0.25" r="560" customHeight="1" ht="15.75">
      <c r="A560" s="2"/>
      <c r="B560" s="12"/>
      <c r="C560" s="12"/>
      <c r="D560" s="12"/>
    </row>
    <row x14ac:dyDescent="0.25" r="561" customHeight="1" ht="15.75">
      <c r="A561" s="2"/>
      <c r="B561" s="12"/>
      <c r="C561" s="12"/>
      <c r="D561" s="12"/>
    </row>
    <row x14ac:dyDescent="0.25" r="562" customHeight="1" ht="15.75">
      <c r="A562" s="2"/>
      <c r="B562" s="12"/>
      <c r="C562" s="12"/>
      <c r="D562" s="12"/>
    </row>
    <row x14ac:dyDescent="0.25" r="563" customHeight="1" ht="15.75">
      <c r="A563" s="2"/>
      <c r="B563" s="12"/>
      <c r="C563" s="12"/>
      <c r="D563" s="12"/>
    </row>
    <row x14ac:dyDescent="0.25" r="564" customHeight="1" ht="15.75">
      <c r="A564" s="2"/>
      <c r="B564" s="12"/>
      <c r="C564" s="12"/>
      <c r="D564" s="12"/>
    </row>
    <row x14ac:dyDescent="0.25" r="565" customHeight="1" ht="15.75">
      <c r="A565" s="2"/>
      <c r="B565" s="12"/>
      <c r="C565" s="12"/>
      <c r="D565" s="12"/>
    </row>
    <row x14ac:dyDescent="0.25" r="566" customHeight="1" ht="15.75">
      <c r="A566" s="2"/>
      <c r="B566" s="12"/>
      <c r="C566" s="12"/>
      <c r="D566" s="12"/>
    </row>
    <row x14ac:dyDescent="0.25" r="567" customHeight="1" ht="15.75">
      <c r="A567" s="2"/>
      <c r="B567" s="12"/>
      <c r="C567" s="12"/>
      <c r="D567" s="12"/>
    </row>
    <row x14ac:dyDescent="0.25" r="568" customHeight="1" ht="15.75">
      <c r="A568" s="2"/>
      <c r="B568" s="12"/>
      <c r="C568" s="12"/>
      <c r="D568" s="12"/>
    </row>
    <row x14ac:dyDescent="0.25" r="569" customHeight="1" ht="15.75">
      <c r="A569" s="2"/>
      <c r="B569" s="12"/>
      <c r="C569" s="12"/>
      <c r="D569" s="12"/>
    </row>
    <row x14ac:dyDescent="0.25" r="570" customHeight="1" ht="15.75">
      <c r="A570" s="2"/>
      <c r="B570" s="12"/>
      <c r="C570" s="12"/>
      <c r="D570" s="12"/>
    </row>
    <row x14ac:dyDescent="0.25" r="571" customHeight="1" ht="15.75">
      <c r="A571" s="2"/>
      <c r="B571" s="12"/>
      <c r="C571" s="12"/>
      <c r="D571" s="12"/>
    </row>
    <row x14ac:dyDescent="0.25" r="572" customHeight="1" ht="15.75">
      <c r="A572" s="2"/>
      <c r="B572" s="12"/>
      <c r="C572" s="12"/>
      <c r="D572" s="12"/>
    </row>
    <row x14ac:dyDescent="0.25" r="573" customHeight="1" ht="15.75">
      <c r="A573" s="2"/>
      <c r="B573" s="12"/>
      <c r="C573" s="12"/>
      <c r="D573" s="12"/>
    </row>
    <row x14ac:dyDescent="0.25" r="574" customHeight="1" ht="15.75">
      <c r="A574" s="2"/>
      <c r="B574" s="12"/>
      <c r="C574" s="12"/>
      <c r="D574" s="12"/>
    </row>
    <row x14ac:dyDescent="0.25" r="575" customHeight="1" ht="15.75">
      <c r="A575" s="2"/>
      <c r="B575" s="12"/>
      <c r="C575" s="12"/>
      <c r="D575" s="12"/>
    </row>
    <row x14ac:dyDescent="0.25" r="576" customHeight="1" ht="15.75">
      <c r="A576" s="2"/>
      <c r="B576" s="12"/>
      <c r="C576" s="12"/>
      <c r="D576" s="12"/>
    </row>
    <row x14ac:dyDescent="0.25" r="577" customHeight="1" ht="15.75">
      <c r="A577" s="2"/>
      <c r="B577" s="12"/>
      <c r="C577" s="12"/>
      <c r="D577" s="12"/>
    </row>
    <row x14ac:dyDescent="0.25" r="578" customHeight="1" ht="15.75">
      <c r="A578" s="2"/>
      <c r="B578" s="12"/>
      <c r="C578" s="12"/>
      <c r="D578" s="12"/>
    </row>
    <row x14ac:dyDescent="0.25" r="579" customHeight="1" ht="15.75">
      <c r="A579" s="2"/>
      <c r="B579" s="12"/>
      <c r="C579" s="12"/>
      <c r="D579" s="12"/>
    </row>
    <row x14ac:dyDescent="0.25" r="580" customHeight="1" ht="15.75">
      <c r="A580" s="2"/>
      <c r="B580" s="12"/>
      <c r="C580" s="12"/>
      <c r="D580" s="12"/>
    </row>
    <row x14ac:dyDescent="0.25" r="581" customHeight="1" ht="15.75">
      <c r="A581" s="2"/>
      <c r="B581" s="12"/>
      <c r="C581" s="12"/>
      <c r="D581" s="12"/>
    </row>
    <row x14ac:dyDescent="0.25" r="582" customHeight="1" ht="15.75">
      <c r="A582" s="2"/>
      <c r="B582" s="12"/>
      <c r="C582" s="12"/>
      <c r="D582" s="12"/>
    </row>
    <row x14ac:dyDescent="0.25" r="583" customHeight="1" ht="15.75">
      <c r="A583" s="2"/>
      <c r="B583" s="12"/>
      <c r="C583" s="12"/>
      <c r="D583" s="12"/>
    </row>
    <row x14ac:dyDescent="0.25" r="584" customHeight="1" ht="15.75">
      <c r="A584" s="2"/>
      <c r="B584" s="12"/>
      <c r="C584" s="12"/>
      <c r="D584" s="12"/>
    </row>
    <row x14ac:dyDescent="0.25" r="585" customHeight="1" ht="15.75">
      <c r="A585" s="2"/>
      <c r="B585" s="12"/>
      <c r="C585" s="12"/>
      <c r="D585" s="12"/>
    </row>
    <row x14ac:dyDescent="0.25" r="586" customHeight="1" ht="15.75">
      <c r="A586" s="2"/>
      <c r="B586" s="12"/>
      <c r="C586" s="12"/>
      <c r="D586" s="12"/>
    </row>
    <row x14ac:dyDescent="0.25" r="587" customHeight="1" ht="15.75">
      <c r="A587" s="2"/>
      <c r="B587" s="12"/>
      <c r="C587" s="12"/>
      <c r="D587" s="12"/>
    </row>
    <row x14ac:dyDescent="0.25" r="588" customHeight="1" ht="15.75">
      <c r="A588" s="2"/>
      <c r="B588" s="12"/>
      <c r="C588" s="12"/>
      <c r="D588" s="12"/>
    </row>
    <row x14ac:dyDescent="0.25" r="589" customHeight="1" ht="15.75">
      <c r="A589" s="2"/>
      <c r="B589" s="12"/>
      <c r="C589" s="12"/>
      <c r="D589" s="12"/>
    </row>
    <row x14ac:dyDescent="0.25" r="590" customHeight="1" ht="15.75">
      <c r="A590" s="2"/>
      <c r="B590" s="12"/>
      <c r="C590" s="12"/>
      <c r="D590" s="12"/>
    </row>
    <row x14ac:dyDescent="0.25" r="591" customHeight="1" ht="15.75">
      <c r="A591" s="2"/>
      <c r="B591" s="12"/>
      <c r="C591" s="12"/>
      <c r="D591" s="12"/>
    </row>
    <row x14ac:dyDescent="0.25" r="592" customHeight="1" ht="15.75">
      <c r="A592" s="2"/>
      <c r="B592" s="12"/>
      <c r="C592" s="12"/>
      <c r="D592" s="12"/>
    </row>
    <row x14ac:dyDescent="0.25" r="593" customHeight="1" ht="15.75">
      <c r="A593" s="2"/>
      <c r="B593" s="12"/>
      <c r="C593" s="12"/>
      <c r="D593" s="12"/>
    </row>
    <row x14ac:dyDescent="0.25" r="594" customHeight="1" ht="15.75">
      <c r="A594" s="2"/>
      <c r="B594" s="12"/>
      <c r="C594" s="12"/>
      <c r="D594" s="12"/>
    </row>
    <row x14ac:dyDescent="0.25" r="595" customHeight="1" ht="15.75">
      <c r="A595" s="2"/>
      <c r="B595" s="12"/>
      <c r="C595" s="12"/>
      <c r="D595" s="12"/>
    </row>
    <row x14ac:dyDescent="0.25" r="596" customHeight="1" ht="15.75">
      <c r="A596" s="2"/>
      <c r="B596" s="12"/>
      <c r="C596" s="12"/>
      <c r="D596" s="12"/>
    </row>
    <row x14ac:dyDescent="0.25" r="597" customHeight="1" ht="15.75">
      <c r="A597" s="2"/>
      <c r="B597" s="12"/>
      <c r="C597" s="12"/>
      <c r="D597" s="12"/>
    </row>
    <row x14ac:dyDescent="0.25" r="598" customHeight="1" ht="15.75">
      <c r="A598" s="2"/>
      <c r="B598" s="12"/>
      <c r="C598" s="12"/>
      <c r="D598" s="12"/>
    </row>
    <row x14ac:dyDescent="0.25" r="599" customHeight="1" ht="15.75">
      <c r="A599" s="2"/>
      <c r="B599" s="12"/>
      <c r="C599" s="12"/>
      <c r="D599" s="12"/>
    </row>
    <row x14ac:dyDescent="0.25" r="600" customHeight="1" ht="15.75">
      <c r="A600" s="2"/>
      <c r="B600" s="12"/>
      <c r="C600" s="12"/>
      <c r="D600" s="12"/>
    </row>
    <row x14ac:dyDescent="0.25" r="601" customHeight="1" ht="15.75">
      <c r="A601" s="2"/>
      <c r="B601" s="12"/>
      <c r="C601" s="12"/>
      <c r="D601" s="12"/>
    </row>
    <row x14ac:dyDescent="0.25" r="602" customHeight="1" ht="15.75">
      <c r="A602" s="2"/>
      <c r="B602" s="12"/>
      <c r="C602" s="12"/>
      <c r="D602" s="12"/>
    </row>
    <row x14ac:dyDescent="0.25" r="603" customHeight="1" ht="15.75">
      <c r="A603" s="2"/>
      <c r="B603" s="12"/>
      <c r="C603" s="12"/>
      <c r="D603" s="12"/>
    </row>
    <row x14ac:dyDescent="0.25" r="604" customHeight="1" ht="15.75">
      <c r="A604" s="2"/>
      <c r="B604" s="12"/>
      <c r="C604" s="12"/>
      <c r="D604" s="12"/>
    </row>
    <row x14ac:dyDescent="0.25" r="605" customHeight="1" ht="15.75">
      <c r="A605" s="2"/>
      <c r="B605" s="12"/>
      <c r="C605" s="12"/>
      <c r="D605" s="12"/>
    </row>
    <row x14ac:dyDescent="0.25" r="606" customHeight="1" ht="15.75">
      <c r="A606" s="2"/>
      <c r="B606" s="12"/>
      <c r="C606" s="12"/>
      <c r="D606" s="12"/>
    </row>
    <row x14ac:dyDescent="0.25" r="607" customHeight="1" ht="15.75">
      <c r="A607" s="2"/>
      <c r="B607" s="12"/>
      <c r="C607" s="12"/>
      <c r="D607" s="12"/>
    </row>
    <row x14ac:dyDescent="0.25" r="608" customHeight="1" ht="15.75">
      <c r="A608" s="2"/>
      <c r="B608" s="12"/>
      <c r="C608" s="12"/>
      <c r="D608" s="12"/>
    </row>
    <row x14ac:dyDescent="0.25" r="609" customHeight="1" ht="15.75">
      <c r="A609" s="2"/>
      <c r="B609" s="12"/>
      <c r="C609" s="12"/>
      <c r="D609" s="12"/>
    </row>
    <row x14ac:dyDescent="0.25" r="610" customHeight="1" ht="15.75">
      <c r="A610" s="2"/>
      <c r="B610" s="12"/>
      <c r="C610" s="12"/>
      <c r="D610" s="12"/>
    </row>
    <row x14ac:dyDescent="0.25" r="611" customHeight="1" ht="15.75">
      <c r="A611" s="2"/>
      <c r="B611" s="12"/>
      <c r="C611" s="12"/>
      <c r="D611" s="12"/>
    </row>
    <row x14ac:dyDescent="0.25" r="612" customHeight="1" ht="15.75">
      <c r="A612" s="2"/>
      <c r="B612" s="12"/>
      <c r="C612" s="12"/>
      <c r="D612" s="12"/>
    </row>
    <row x14ac:dyDescent="0.25" r="613" customHeight="1" ht="15.75">
      <c r="A613" s="2"/>
      <c r="B613" s="12"/>
      <c r="C613" s="12"/>
      <c r="D613" s="12"/>
    </row>
    <row x14ac:dyDescent="0.25" r="614" customHeight="1" ht="15.75">
      <c r="A614" s="2"/>
      <c r="B614" s="12"/>
      <c r="C614" s="12"/>
      <c r="D614" s="12"/>
    </row>
    <row x14ac:dyDescent="0.25" r="615" customHeight="1" ht="15.75">
      <c r="A615" s="2"/>
      <c r="B615" s="12"/>
      <c r="C615" s="12"/>
      <c r="D615" s="12"/>
    </row>
    <row x14ac:dyDescent="0.25" r="616" customHeight="1" ht="15.75">
      <c r="A616" s="2"/>
      <c r="B616" s="12"/>
      <c r="C616" s="12"/>
      <c r="D616" s="12"/>
    </row>
    <row x14ac:dyDescent="0.25" r="617" customHeight="1" ht="15.75">
      <c r="A617" s="2"/>
      <c r="B617" s="12"/>
      <c r="C617" s="12"/>
      <c r="D617" s="12"/>
    </row>
    <row x14ac:dyDescent="0.25" r="618" customHeight="1" ht="15.75">
      <c r="A618" s="2"/>
      <c r="B618" s="12"/>
      <c r="C618" s="12"/>
      <c r="D618" s="12"/>
    </row>
    <row x14ac:dyDescent="0.25" r="619" customHeight="1" ht="15.75">
      <c r="A619" s="2"/>
      <c r="B619" s="12"/>
      <c r="C619" s="12"/>
      <c r="D619" s="12"/>
    </row>
    <row x14ac:dyDescent="0.25" r="620" customHeight="1" ht="15.75">
      <c r="A620" s="2"/>
      <c r="B620" s="12"/>
      <c r="C620" s="12"/>
      <c r="D620" s="12"/>
    </row>
    <row x14ac:dyDescent="0.25" r="621" customHeight="1" ht="15.75">
      <c r="A621" s="2"/>
      <c r="B621" s="12"/>
      <c r="C621" s="12"/>
      <c r="D621" s="12"/>
    </row>
    <row x14ac:dyDescent="0.25" r="622" customHeight="1" ht="15.75">
      <c r="A622" s="2"/>
      <c r="B622" s="12"/>
      <c r="C622" s="12"/>
      <c r="D622" s="12"/>
    </row>
    <row x14ac:dyDescent="0.25" r="623" customHeight="1" ht="15.75">
      <c r="A623" s="2"/>
      <c r="B623" s="12"/>
      <c r="C623" s="12"/>
      <c r="D623" s="12"/>
    </row>
    <row x14ac:dyDescent="0.25" r="624" customHeight="1" ht="15.75">
      <c r="A624" s="2"/>
      <c r="B624" s="12"/>
      <c r="C624" s="12"/>
      <c r="D624" s="12"/>
    </row>
    <row x14ac:dyDescent="0.25" r="625" customHeight="1" ht="15.75">
      <c r="A625" s="2"/>
      <c r="B625" s="12"/>
      <c r="C625" s="12"/>
      <c r="D625" s="12"/>
    </row>
    <row x14ac:dyDescent="0.25" r="626" customHeight="1" ht="15.75">
      <c r="A626" s="2"/>
      <c r="B626" s="12"/>
      <c r="C626" s="12"/>
      <c r="D626" s="12"/>
    </row>
    <row x14ac:dyDescent="0.25" r="627" customHeight="1" ht="15.75">
      <c r="A627" s="2"/>
      <c r="B627" s="12"/>
      <c r="C627" s="12"/>
      <c r="D627" s="12"/>
    </row>
    <row x14ac:dyDescent="0.25" r="628" customHeight="1" ht="15.75">
      <c r="A628" s="2"/>
      <c r="B628" s="12"/>
      <c r="C628" s="12"/>
      <c r="D628" s="12"/>
    </row>
    <row x14ac:dyDescent="0.25" r="629" customHeight="1" ht="15.75">
      <c r="A629" s="2"/>
      <c r="B629" s="12"/>
      <c r="C629" s="12"/>
      <c r="D629" s="12"/>
    </row>
    <row x14ac:dyDescent="0.25" r="630" customHeight="1" ht="15.75">
      <c r="A630" s="2"/>
      <c r="B630" s="12"/>
      <c r="C630" s="12"/>
      <c r="D630" s="12"/>
    </row>
    <row x14ac:dyDescent="0.25" r="631" customHeight="1" ht="15.75">
      <c r="A631" s="2"/>
      <c r="B631" s="12"/>
      <c r="C631" s="12"/>
      <c r="D631" s="12"/>
    </row>
    <row x14ac:dyDescent="0.25" r="632" customHeight="1" ht="15.75">
      <c r="A632" s="2"/>
      <c r="B632" s="12"/>
      <c r="C632" s="12"/>
      <c r="D632" s="12"/>
    </row>
    <row x14ac:dyDescent="0.25" r="633" customHeight="1" ht="15.75">
      <c r="A633" s="2"/>
      <c r="B633" s="12"/>
      <c r="C633" s="12"/>
      <c r="D633" s="12"/>
    </row>
    <row x14ac:dyDescent="0.25" r="634" customHeight="1" ht="15.75">
      <c r="A634" s="2"/>
      <c r="B634" s="12"/>
      <c r="C634" s="12"/>
      <c r="D634" s="12"/>
    </row>
    <row x14ac:dyDescent="0.25" r="635" customHeight="1" ht="15.75">
      <c r="A635" s="2"/>
      <c r="B635" s="12"/>
      <c r="C635" s="12"/>
      <c r="D635" s="12"/>
    </row>
    <row x14ac:dyDescent="0.25" r="636" customHeight="1" ht="15.75">
      <c r="A636" s="2"/>
      <c r="B636" s="12"/>
      <c r="C636" s="12"/>
      <c r="D636" s="12"/>
    </row>
    <row x14ac:dyDescent="0.25" r="637" customHeight="1" ht="15.75">
      <c r="A637" s="2"/>
      <c r="B637" s="12"/>
      <c r="C637" s="12"/>
      <c r="D637" s="12"/>
    </row>
    <row x14ac:dyDescent="0.25" r="638" customHeight="1" ht="15.75">
      <c r="A638" s="2"/>
      <c r="B638" s="12"/>
      <c r="C638" s="12"/>
      <c r="D638" s="12"/>
    </row>
    <row x14ac:dyDescent="0.25" r="639" customHeight="1" ht="15.75">
      <c r="A639" s="2"/>
      <c r="B639" s="12"/>
      <c r="C639" s="12"/>
      <c r="D639" s="12"/>
    </row>
    <row x14ac:dyDescent="0.25" r="640" customHeight="1" ht="15.75">
      <c r="A640" s="2"/>
      <c r="B640" s="12"/>
      <c r="C640" s="12"/>
      <c r="D640" s="12"/>
    </row>
    <row x14ac:dyDescent="0.25" r="641" customHeight="1" ht="15.75">
      <c r="A641" s="2"/>
      <c r="B641" s="12"/>
      <c r="C641" s="12"/>
      <c r="D641" s="12"/>
    </row>
    <row x14ac:dyDescent="0.25" r="642" customHeight="1" ht="15.75">
      <c r="A642" s="2"/>
      <c r="B642" s="12"/>
      <c r="C642" s="12"/>
      <c r="D642" s="12"/>
    </row>
    <row x14ac:dyDescent="0.25" r="643" customHeight="1" ht="15.75">
      <c r="A643" s="2"/>
      <c r="B643" s="12"/>
      <c r="C643" s="12"/>
      <c r="D643" s="12"/>
    </row>
    <row x14ac:dyDescent="0.25" r="644" customHeight="1" ht="15.75">
      <c r="A644" s="2"/>
      <c r="B644" s="12"/>
      <c r="C644" s="12"/>
      <c r="D644" s="12"/>
    </row>
    <row x14ac:dyDescent="0.25" r="645" customHeight="1" ht="15.75">
      <c r="A645" s="2"/>
      <c r="B645" s="12"/>
      <c r="C645" s="12"/>
      <c r="D645" s="12"/>
    </row>
    <row x14ac:dyDescent="0.25" r="646" customHeight="1" ht="15.75">
      <c r="A646" s="2"/>
      <c r="B646" s="12"/>
      <c r="C646" s="12"/>
      <c r="D646" s="12"/>
    </row>
    <row x14ac:dyDescent="0.25" r="647" customHeight="1" ht="15.75">
      <c r="A647" s="2"/>
      <c r="B647" s="12"/>
      <c r="C647" s="12"/>
      <c r="D647" s="12"/>
    </row>
    <row x14ac:dyDescent="0.25" r="648" customHeight="1" ht="15.75">
      <c r="A648" s="2"/>
      <c r="B648" s="12"/>
      <c r="C648" s="12"/>
      <c r="D648" s="12"/>
    </row>
    <row x14ac:dyDescent="0.25" r="649" customHeight="1" ht="15.75">
      <c r="A649" s="2"/>
      <c r="B649" s="12"/>
      <c r="C649" s="12"/>
      <c r="D649" s="12"/>
    </row>
    <row x14ac:dyDescent="0.25" r="650" customHeight="1" ht="15.75">
      <c r="A650" s="2"/>
      <c r="B650" s="12"/>
      <c r="C650" s="12"/>
      <c r="D650" s="12"/>
    </row>
    <row x14ac:dyDescent="0.25" r="651" customHeight="1" ht="15.75">
      <c r="A651" s="2"/>
      <c r="B651" s="12"/>
      <c r="C651" s="12"/>
      <c r="D651" s="12"/>
    </row>
    <row x14ac:dyDescent="0.25" r="652" customHeight="1" ht="15.75">
      <c r="A652" s="2"/>
      <c r="B652" s="12"/>
      <c r="C652" s="12"/>
      <c r="D652" s="12"/>
    </row>
    <row x14ac:dyDescent="0.25" r="653" customHeight="1" ht="15.75">
      <c r="A653" s="2"/>
      <c r="B653" s="12"/>
      <c r="C653" s="12"/>
      <c r="D653" s="12"/>
    </row>
    <row x14ac:dyDescent="0.25" r="654" customHeight="1" ht="15.75">
      <c r="A654" s="2"/>
      <c r="B654" s="12"/>
      <c r="C654" s="12"/>
      <c r="D654" s="12"/>
    </row>
    <row x14ac:dyDescent="0.25" r="655" customHeight="1" ht="15.75">
      <c r="A655" s="2"/>
      <c r="B655" s="12"/>
      <c r="C655" s="12"/>
      <c r="D655" s="12"/>
    </row>
    <row x14ac:dyDescent="0.25" r="656" customHeight="1" ht="15.75">
      <c r="A656" s="2"/>
      <c r="B656" s="12"/>
      <c r="C656" s="12"/>
      <c r="D656" s="12"/>
    </row>
    <row x14ac:dyDescent="0.25" r="657" customHeight="1" ht="15.75">
      <c r="A657" s="2"/>
      <c r="B657" s="12"/>
      <c r="C657" s="12"/>
      <c r="D657" s="12"/>
    </row>
    <row x14ac:dyDescent="0.25" r="658" customHeight="1" ht="15.75">
      <c r="A658" s="2"/>
      <c r="B658" s="12"/>
      <c r="C658" s="12"/>
      <c r="D658" s="12"/>
    </row>
    <row x14ac:dyDescent="0.25" r="659" customHeight="1" ht="15.75">
      <c r="A659" s="2"/>
      <c r="B659" s="12"/>
      <c r="C659" s="12"/>
      <c r="D659" s="12"/>
    </row>
    <row x14ac:dyDescent="0.25" r="660" customHeight="1" ht="15.75">
      <c r="A660" s="2"/>
      <c r="B660" s="12"/>
      <c r="C660" s="12"/>
      <c r="D660" s="12"/>
    </row>
    <row x14ac:dyDescent="0.25" r="661" customHeight="1" ht="15.75">
      <c r="A661" s="2"/>
      <c r="B661" s="12"/>
      <c r="C661" s="12"/>
      <c r="D661" s="12"/>
    </row>
    <row x14ac:dyDescent="0.25" r="662" customHeight="1" ht="15.75">
      <c r="A662" s="2"/>
      <c r="B662" s="12"/>
      <c r="C662" s="12"/>
      <c r="D662" s="12"/>
    </row>
    <row x14ac:dyDescent="0.25" r="663" customHeight="1" ht="15.75">
      <c r="A663" s="2"/>
      <c r="B663" s="12"/>
      <c r="C663" s="12"/>
      <c r="D663" s="12"/>
    </row>
    <row x14ac:dyDescent="0.25" r="664" customHeight="1" ht="15.75">
      <c r="A664" s="2"/>
      <c r="B664" s="12"/>
      <c r="C664" s="12"/>
      <c r="D664" s="12"/>
    </row>
    <row x14ac:dyDescent="0.25" r="665" customHeight="1" ht="15.75">
      <c r="A665" s="2"/>
      <c r="B665" s="12"/>
      <c r="C665" s="12"/>
      <c r="D665" s="12"/>
    </row>
    <row x14ac:dyDescent="0.25" r="666" customHeight="1" ht="15.75">
      <c r="A666" s="2"/>
      <c r="B666" s="12"/>
      <c r="C666" s="12"/>
      <c r="D666" s="12"/>
    </row>
    <row x14ac:dyDescent="0.25" r="667" customHeight="1" ht="15.75">
      <c r="A667" s="2"/>
      <c r="B667" s="12"/>
      <c r="C667" s="12"/>
      <c r="D667" s="12"/>
    </row>
    <row x14ac:dyDescent="0.25" r="668" customHeight="1" ht="15.75">
      <c r="A668" s="2"/>
      <c r="B668" s="12"/>
      <c r="C668" s="12"/>
      <c r="D668" s="12"/>
    </row>
    <row x14ac:dyDescent="0.25" r="669" customHeight="1" ht="15.75">
      <c r="A669" s="2"/>
      <c r="B669" s="12"/>
      <c r="C669" s="12"/>
      <c r="D669" s="12"/>
    </row>
    <row x14ac:dyDescent="0.25" r="670" customHeight="1" ht="15.75">
      <c r="A670" s="2"/>
      <c r="B670" s="12"/>
      <c r="C670" s="12"/>
      <c r="D670" s="12"/>
    </row>
    <row x14ac:dyDescent="0.25" r="671" customHeight="1" ht="15.75">
      <c r="A671" s="2"/>
      <c r="B671" s="12"/>
      <c r="C671" s="12"/>
      <c r="D671" s="12"/>
    </row>
    <row x14ac:dyDescent="0.25" r="672" customHeight="1" ht="15.75">
      <c r="A672" s="2"/>
      <c r="B672" s="12"/>
      <c r="C672" s="12"/>
      <c r="D672" s="12"/>
    </row>
    <row x14ac:dyDescent="0.25" r="673" customHeight="1" ht="15.75">
      <c r="A673" s="2"/>
      <c r="B673" s="12"/>
      <c r="C673" s="12"/>
      <c r="D673" s="12"/>
    </row>
    <row x14ac:dyDescent="0.25" r="674" customHeight="1" ht="15.75">
      <c r="A674" s="2"/>
      <c r="B674" s="12"/>
      <c r="C674" s="12"/>
      <c r="D674" s="12"/>
    </row>
    <row x14ac:dyDescent="0.25" r="675" customHeight="1" ht="15.75">
      <c r="A675" s="2"/>
      <c r="B675" s="12"/>
      <c r="C675" s="12"/>
      <c r="D675" s="12"/>
    </row>
    <row x14ac:dyDescent="0.25" r="676" customHeight="1" ht="15.75">
      <c r="A676" s="2"/>
      <c r="B676" s="12"/>
      <c r="C676" s="12"/>
      <c r="D676" s="12"/>
    </row>
    <row x14ac:dyDescent="0.25" r="677" customHeight="1" ht="15.75">
      <c r="A677" s="2"/>
      <c r="B677" s="12"/>
      <c r="C677" s="12"/>
      <c r="D677" s="12"/>
    </row>
    <row x14ac:dyDescent="0.25" r="678" customHeight="1" ht="15.75">
      <c r="A678" s="2"/>
      <c r="B678" s="12"/>
      <c r="C678" s="12"/>
      <c r="D678" s="12"/>
    </row>
    <row x14ac:dyDescent="0.25" r="679" customHeight="1" ht="15.75">
      <c r="A679" s="2"/>
      <c r="B679" s="12"/>
      <c r="C679" s="12"/>
      <c r="D679" s="12"/>
    </row>
    <row x14ac:dyDescent="0.25" r="680" customHeight="1" ht="15.75">
      <c r="A680" s="2"/>
      <c r="B680" s="12"/>
      <c r="C680" s="12"/>
      <c r="D680" s="12"/>
    </row>
    <row x14ac:dyDescent="0.25" r="681" customHeight="1" ht="15.75">
      <c r="A681" s="2"/>
      <c r="B681" s="12"/>
      <c r="C681" s="12"/>
      <c r="D681" s="12"/>
    </row>
    <row x14ac:dyDescent="0.25" r="682" customHeight="1" ht="15.75">
      <c r="A682" s="2"/>
      <c r="B682" s="12"/>
      <c r="C682" s="12"/>
      <c r="D682" s="12"/>
    </row>
    <row x14ac:dyDescent="0.25" r="683" customHeight="1" ht="15.75">
      <c r="A683" s="2"/>
      <c r="B683" s="12"/>
      <c r="C683" s="12"/>
      <c r="D683" s="12"/>
    </row>
    <row x14ac:dyDescent="0.25" r="684" customHeight="1" ht="15.75">
      <c r="A684" s="2"/>
      <c r="B684" s="12"/>
      <c r="C684" s="12"/>
      <c r="D684" s="12"/>
    </row>
    <row x14ac:dyDescent="0.25" r="685" customHeight="1" ht="15.75">
      <c r="A685" s="2"/>
      <c r="B685" s="12"/>
      <c r="C685" s="12"/>
      <c r="D685" s="12"/>
    </row>
    <row x14ac:dyDescent="0.25" r="686" customHeight="1" ht="15.75">
      <c r="A686" s="2"/>
      <c r="B686" s="12"/>
      <c r="C686" s="12"/>
      <c r="D686" s="12"/>
    </row>
    <row x14ac:dyDescent="0.25" r="687" customHeight="1" ht="15.75">
      <c r="A687" s="2"/>
      <c r="B687" s="12"/>
      <c r="C687" s="12"/>
      <c r="D687" s="12"/>
    </row>
    <row x14ac:dyDescent="0.25" r="688" customHeight="1" ht="15.75">
      <c r="A688" s="2"/>
      <c r="B688" s="12"/>
      <c r="C688" s="12"/>
      <c r="D688" s="12"/>
    </row>
    <row x14ac:dyDescent="0.25" r="689" customHeight="1" ht="15.75">
      <c r="A689" s="2"/>
      <c r="B689" s="12"/>
      <c r="C689" s="12"/>
      <c r="D689" s="12"/>
    </row>
    <row x14ac:dyDescent="0.25" r="690" customHeight="1" ht="15.75">
      <c r="A690" s="2"/>
      <c r="B690" s="12"/>
      <c r="C690" s="12"/>
      <c r="D690" s="12"/>
    </row>
    <row x14ac:dyDescent="0.25" r="691" customHeight="1" ht="15.75">
      <c r="A691" s="2"/>
      <c r="B691" s="12"/>
      <c r="C691" s="12"/>
      <c r="D691" s="12"/>
    </row>
    <row x14ac:dyDescent="0.25" r="692" customHeight="1" ht="15.75">
      <c r="A692" s="2"/>
      <c r="B692" s="12"/>
      <c r="C692" s="12"/>
      <c r="D692" s="12"/>
    </row>
    <row x14ac:dyDescent="0.25" r="693" customHeight="1" ht="15.75">
      <c r="A693" s="2"/>
      <c r="B693" s="12"/>
      <c r="C693" s="12"/>
      <c r="D693" s="12"/>
    </row>
    <row x14ac:dyDescent="0.25" r="694" customHeight="1" ht="15.75">
      <c r="A694" s="2"/>
      <c r="B694" s="12"/>
      <c r="C694" s="12"/>
      <c r="D694" s="12"/>
    </row>
    <row x14ac:dyDescent="0.25" r="695" customHeight="1" ht="15.75">
      <c r="A695" s="2"/>
      <c r="B695" s="12"/>
      <c r="C695" s="12"/>
      <c r="D695" s="12"/>
    </row>
    <row x14ac:dyDescent="0.25" r="696" customHeight="1" ht="15.75">
      <c r="A696" s="2"/>
      <c r="B696" s="12"/>
      <c r="C696" s="12"/>
      <c r="D696" s="12"/>
    </row>
    <row x14ac:dyDescent="0.25" r="697" customHeight="1" ht="15.75">
      <c r="A697" s="2"/>
      <c r="B697" s="12"/>
      <c r="C697" s="12"/>
      <c r="D697" s="12"/>
    </row>
    <row x14ac:dyDescent="0.25" r="698" customHeight="1" ht="15.75">
      <c r="A698" s="2"/>
      <c r="B698" s="12"/>
      <c r="C698" s="12"/>
      <c r="D698" s="12"/>
    </row>
    <row x14ac:dyDescent="0.25" r="699" customHeight="1" ht="15.75">
      <c r="A699" s="2"/>
      <c r="B699" s="12"/>
      <c r="C699" s="12"/>
      <c r="D699" s="12"/>
    </row>
    <row x14ac:dyDescent="0.25" r="700" customHeight="1" ht="15.75">
      <c r="A700" s="2"/>
      <c r="B700" s="12"/>
      <c r="C700" s="12"/>
      <c r="D700" s="12"/>
    </row>
    <row x14ac:dyDescent="0.25" r="701" customHeight="1" ht="15.75">
      <c r="A701" s="2"/>
      <c r="B701" s="12"/>
      <c r="C701" s="12"/>
      <c r="D701" s="12"/>
    </row>
    <row x14ac:dyDescent="0.25" r="702" customHeight="1" ht="15.75">
      <c r="A702" s="2"/>
      <c r="B702" s="12"/>
      <c r="C702" s="12"/>
      <c r="D702" s="12"/>
    </row>
    <row x14ac:dyDescent="0.25" r="703" customHeight="1" ht="15.75">
      <c r="A703" s="2"/>
      <c r="B703" s="12"/>
      <c r="C703" s="12"/>
      <c r="D703" s="12"/>
    </row>
    <row x14ac:dyDescent="0.25" r="704" customHeight="1" ht="15.75">
      <c r="A704" s="2"/>
      <c r="B704" s="12"/>
      <c r="C704" s="12"/>
      <c r="D704" s="12"/>
    </row>
    <row x14ac:dyDescent="0.25" r="705" customHeight="1" ht="15.75">
      <c r="A705" s="2"/>
      <c r="B705" s="12"/>
      <c r="C705" s="12"/>
      <c r="D705" s="12"/>
    </row>
    <row x14ac:dyDescent="0.25" r="706" customHeight="1" ht="15.75">
      <c r="A706" s="2"/>
      <c r="B706" s="12"/>
      <c r="C706" s="12"/>
      <c r="D706" s="12"/>
    </row>
    <row x14ac:dyDescent="0.25" r="707" customHeight="1" ht="15.75">
      <c r="A707" s="2"/>
      <c r="B707" s="12"/>
      <c r="C707" s="12"/>
      <c r="D707" s="12"/>
    </row>
    <row x14ac:dyDescent="0.25" r="708" customHeight="1" ht="15.75">
      <c r="A708" s="2"/>
      <c r="B708" s="12"/>
      <c r="C708" s="12"/>
      <c r="D708" s="12"/>
    </row>
    <row x14ac:dyDescent="0.25" r="709" customHeight="1" ht="15.75">
      <c r="A709" s="2"/>
      <c r="B709" s="12"/>
      <c r="C709" s="12"/>
      <c r="D709" s="12"/>
    </row>
    <row x14ac:dyDescent="0.25" r="710" customHeight="1" ht="15.75">
      <c r="A710" s="2"/>
      <c r="B710" s="12"/>
      <c r="C710" s="12"/>
      <c r="D710" s="12"/>
    </row>
    <row x14ac:dyDescent="0.25" r="711" customHeight="1" ht="15.75">
      <c r="A711" s="2"/>
      <c r="B711" s="12"/>
      <c r="C711" s="12"/>
      <c r="D711" s="12"/>
    </row>
    <row x14ac:dyDescent="0.25" r="712" customHeight="1" ht="15.75">
      <c r="A712" s="2"/>
      <c r="B712" s="12"/>
      <c r="C712" s="12"/>
      <c r="D712" s="12"/>
    </row>
    <row x14ac:dyDescent="0.25" r="713" customHeight="1" ht="15.75">
      <c r="A713" s="2"/>
      <c r="B713" s="12"/>
      <c r="C713" s="12"/>
      <c r="D713" s="12"/>
    </row>
    <row x14ac:dyDescent="0.25" r="714" customHeight="1" ht="15.75">
      <c r="A714" s="2"/>
      <c r="B714" s="12"/>
      <c r="C714" s="12"/>
      <c r="D714" s="12"/>
    </row>
    <row x14ac:dyDescent="0.25" r="715" customHeight="1" ht="15.75">
      <c r="A715" s="2"/>
      <c r="B715" s="12"/>
      <c r="C715" s="12"/>
      <c r="D715" s="12"/>
    </row>
    <row x14ac:dyDescent="0.25" r="716" customHeight="1" ht="15.75">
      <c r="A716" s="2"/>
      <c r="B716" s="12"/>
      <c r="C716" s="12"/>
      <c r="D716" s="12"/>
    </row>
    <row x14ac:dyDescent="0.25" r="717" customHeight="1" ht="15.75">
      <c r="A717" s="2"/>
      <c r="B717" s="12"/>
      <c r="C717" s="12"/>
      <c r="D717" s="12"/>
    </row>
    <row x14ac:dyDescent="0.25" r="718" customHeight="1" ht="15.75">
      <c r="A718" s="2"/>
      <c r="B718" s="12"/>
      <c r="C718" s="12"/>
      <c r="D718" s="12"/>
    </row>
    <row x14ac:dyDescent="0.25" r="719" customHeight="1" ht="15.75">
      <c r="A719" s="2"/>
      <c r="B719" s="12"/>
      <c r="C719" s="12"/>
      <c r="D719" s="12"/>
    </row>
    <row x14ac:dyDescent="0.25" r="720" customHeight="1" ht="15.75">
      <c r="A720" s="2"/>
      <c r="B720" s="12"/>
      <c r="C720" s="12"/>
      <c r="D720" s="12"/>
    </row>
    <row x14ac:dyDescent="0.25" r="721" customHeight="1" ht="15.75">
      <c r="A721" s="2"/>
      <c r="B721" s="12"/>
      <c r="C721" s="12"/>
      <c r="D721" s="12"/>
    </row>
    <row x14ac:dyDescent="0.25" r="722" customHeight="1" ht="15.75">
      <c r="A722" s="2"/>
      <c r="B722" s="12"/>
      <c r="C722" s="12"/>
      <c r="D722" s="12"/>
    </row>
    <row x14ac:dyDescent="0.25" r="723" customHeight="1" ht="15.75">
      <c r="A723" s="2"/>
      <c r="B723" s="12"/>
      <c r="C723" s="12"/>
      <c r="D723" s="12"/>
    </row>
    <row x14ac:dyDescent="0.25" r="724" customHeight="1" ht="15.75">
      <c r="A724" s="2"/>
      <c r="B724" s="12"/>
      <c r="C724" s="12"/>
      <c r="D724" s="12"/>
    </row>
    <row x14ac:dyDescent="0.25" r="725" customHeight="1" ht="15.75">
      <c r="A725" s="2"/>
      <c r="B725" s="12"/>
      <c r="C725" s="12"/>
      <c r="D725" s="12"/>
    </row>
    <row x14ac:dyDescent="0.25" r="726" customHeight="1" ht="15.75">
      <c r="A726" s="2"/>
      <c r="B726" s="12"/>
      <c r="C726" s="12"/>
      <c r="D726" s="12"/>
    </row>
    <row x14ac:dyDescent="0.25" r="727" customHeight="1" ht="15.75">
      <c r="A727" s="2"/>
      <c r="B727" s="12"/>
      <c r="C727" s="12"/>
      <c r="D727" s="12"/>
    </row>
    <row x14ac:dyDescent="0.25" r="728" customHeight="1" ht="15.75">
      <c r="A728" s="2"/>
      <c r="B728" s="12"/>
      <c r="C728" s="12"/>
      <c r="D728" s="12"/>
    </row>
    <row x14ac:dyDescent="0.25" r="729" customHeight="1" ht="15.75">
      <c r="A729" s="2"/>
      <c r="B729" s="12"/>
      <c r="C729" s="12"/>
      <c r="D729" s="12"/>
    </row>
    <row x14ac:dyDescent="0.25" r="730" customHeight="1" ht="15.75">
      <c r="A730" s="2"/>
      <c r="B730" s="12"/>
      <c r="C730" s="12"/>
      <c r="D730" s="12"/>
    </row>
    <row x14ac:dyDescent="0.25" r="731" customHeight="1" ht="15.75">
      <c r="A731" s="2"/>
      <c r="B731" s="12"/>
      <c r="C731" s="12"/>
      <c r="D731" s="12"/>
    </row>
    <row x14ac:dyDescent="0.25" r="732" customHeight="1" ht="15.75">
      <c r="A732" s="2"/>
      <c r="B732" s="12"/>
      <c r="C732" s="12"/>
      <c r="D732" s="12"/>
    </row>
    <row x14ac:dyDescent="0.25" r="733" customHeight="1" ht="15.75">
      <c r="A733" s="2"/>
      <c r="B733" s="12"/>
      <c r="C733" s="12"/>
      <c r="D733" s="12"/>
    </row>
    <row x14ac:dyDescent="0.25" r="734" customHeight="1" ht="15.75">
      <c r="A734" s="2"/>
      <c r="B734" s="12"/>
      <c r="C734" s="12"/>
      <c r="D734" s="12"/>
    </row>
    <row x14ac:dyDescent="0.25" r="735" customHeight="1" ht="15.75">
      <c r="A735" s="2"/>
      <c r="B735" s="12"/>
      <c r="C735" s="12"/>
      <c r="D735" s="12"/>
    </row>
    <row x14ac:dyDescent="0.25" r="736" customHeight="1" ht="15.75">
      <c r="A736" s="2"/>
      <c r="B736" s="12"/>
      <c r="C736" s="12"/>
      <c r="D736" s="12"/>
    </row>
    <row x14ac:dyDescent="0.25" r="737" customHeight="1" ht="15.75">
      <c r="A737" s="2"/>
      <c r="B737" s="12"/>
      <c r="C737" s="12"/>
      <c r="D737" s="12"/>
    </row>
    <row x14ac:dyDescent="0.25" r="738" customHeight="1" ht="15.75">
      <c r="A738" s="2"/>
      <c r="B738" s="12"/>
      <c r="C738" s="12"/>
      <c r="D738" s="12"/>
    </row>
    <row x14ac:dyDescent="0.25" r="739" customHeight="1" ht="15.75">
      <c r="A739" s="2"/>
      <c r="B739" s="12"/>
      <c r="C739" s="12"/>
      <c r="D739" s="12"/>
    </row>
    <row x14ac:dyDescent="0.25" r="740" customHeight="1" ht="15.75">
      <c r="A740" s="2"/>
      <c r="B740" s="12"/>
      <c r="C740" s="12"/>
      <c r="D740" s="12"/>
    </row>
    <row x14ac:dyDescent="0.25" r="741" customHeight="1" ht="15.75">
      <c r="A741" s="2"/>
      <c r="B741" s="12"/>
      <c r="C741" s="12"/>
      <c r="D741" s="12"/>
    </row>
    <row x14ac:dyDescent="0.25" r="742" customHeight="1" ht="15.75">
      <c r="A742" s="2"/>
      <c r="B742" s="12"/>
      <c r="C742" s="12"/>
      <c r="D742" s="12"/>
    </row>
    <row x14ac:dyDescent="0.25" r="743" customHeight="1" ht="15.75">
      <c r="A743" s="2"/>
      <c r="B743" s="12"/>
      <c r="C743" s="12"/>
      <c r="D743" s="12"/>
    </row>
    <row x14ac:dyDescent="0.25" r="744" customHeight="1" ht="15.75">
      <c r="A744" s="2"/>
      <c r="B744" s="12"/>
      <c r="C744" s="12"/>
      <c r="D744" s="12"/>
    </row>
    <row x14ac:dyDescent="0.25" r="745" customHeight="1" ht="15.75">
      <c r="A745" s="2"/>
      <c r="B745" s="12"/>
      <c r="C745" s="12"/>
      <c r="D745" s="12"/>
    </row>
    <row x14ac:dyDescent="0.25" r="746" customHeight="1" ht="15.75">
      <c r="A746" s="2"/>
      <c r="B746" s="12"/>
      <c r="C746" s="12"/>
      <c r="D746" s="12"/>
    </row>
    <row x14ac:dyDescent="0.25" r="747" customHeight="1" ht="15.75">
      <c r="A747" s="2"/>
      <c r="B747" s="12"/>
      <c r="C747" s="12"/>
      <c r="D747" s="12"/>
    </row>
    <row x14ac:dyDescent="0.25" r="748" customHeight="1" ht="15.75">
      <c r="A748" s="2"/>
      <c r="B748" s="12"/>
      <c r="C748" s="12"/>
      <c r="D748" s="12"/>
    </row>
    <row x14ac:dyDescent="0.25" r="749" customHeight="1" ht="15.75">
      <c r="A749" s="2"/>
      <c r="B749" s="12"/>
      <c r="C749" s="12"/>
      <c r="D749" s="12"/>
    </row>
    <row x14ac:dyDescent="0.25" r="750" customHeight="1" ht="15.75">
      <c r="A750" s="2"/>
      <c r="B750" s="12"/>
      <c r="C750" s="12"/>
      <c r="D750" s="12"/>
    </row>
    <row x14ac:dyDescent="0.25" r="751" customHeight="1" ht="15.75">
      <c r="A751" s="2"/>
      <c r="B751" s="12"/>
      <c r="C751" s="12"/>
      <c r="D751" s="12"/>
    </row>
    <row x14ac:dyDescent="0.25" r="752" customHeight="1" ht="15.75">
      <c r="A752" s="2"/>
      <c r="B752" s="12"/>
      <c r="C752" s="12"/>
      <c r="D752" s="12"/>
    </row>
    <row x14ac:dyDescent="0.25" r="753" customHeight="1" ht="15.75">
      <c r="A753" s="2"/>
      <c r="B753" s="12"/>
      <c r="C753" s="12"/>
      <c r="D753" s="12"/>
    </row>
    <row x14ac:dyDescent="0.25" r="754" customHeight="1" ht="15.75">
      <c r="A754" s="2"/>
      <c r="B754" s="12"/>
      <c r="C754" s="12"/>
      <c r="D754" s="12"/>
    </row>
    <row x14ac:dyDescent="0.25" r="755" customHeight="1" ht="15.75">
      <c r="A755" s="2"/>
      <c r="B755" s="12"/>
      <c r="C755" s="12"/>
      <c r="D755" s="12"/>
    </row>
    <row x14ac:dyDescent="0.25" r="756" customHeight="1" ht="15.75">
      <c r="A756" s="2"/>
      <c r="B756" s="12"/>
      <c r="C756" s="12"/>
      <c r="D756" s="12"/>
    </row>
    <row x14ac:dyDescent="0.25" r="757" customHeight="1" ht="15.75">
      <c r="A757" s="2"/>
      <c r="B757" s="12"/>
      <c r="C757" s="12"/>
      <c r="D757" s="12"/>
    </row>
    <row x14ac:dyDescent="0.25" r="758" customHeight="1" ht="15.75">
      <c r="A758" s="2"/>
      <c r="B758" s="12"/>
      <c r="C758" s="12"/>
      <c r="D758" s="12"/>
    </row>
    <row x14ac:dyDescent="0.25" r="759" customHeight="1" ht="15.75">
      <c r="A759" s="2"/>
      <c r="B759" s="12"/>
      <c r="C759" s="12"/>
      <c r="D759" s="12"/>
    </row>
    <row x14ac:dyDescent="0.25" r="760" customHeight="1" ht="15.75">
      <c r="A760" s="2"/>
      <c r="B760" s="12"/>
      <c r="C760" s="12"/>
      <c r="D760" s="12"/>
    </row>
    <row x14ac:dyDescent="0.25" r="761" customHeight="1" ht="15.75">
      <c r="A761" s="2"/>
      <c r="B761" s="12"/>
      <c r="C761" s="12"/>
      <c r="D761" s="12"/>
    </row>
    <row x14ac:dyDescent="0.25" r="762" customHeight="1" ht="15.75">
      <c r="A762" s="2"/>
      <c r="B762" s="12"/>
      <c r="C762" s="12"/>
      <c r="D762" s="12"/>
    </row>
    <row x14ac:dyDescent="0.25" r="763" customHeight="1" ht="15.75">
      <c r="A763" s="2"/>
      <c r="B763" s="12"/>
      <c r="C763" s="12"/>
      <c r="D763" s="12"/>
    </row>
    <row x14ac:dyDescent="0.25" r="764" customHeight="1" ht="15.75">
      <c r="A764" s="2"/>
      <c r="B764" s="12"/>
      <c r="C764" s="12"/>
      <c r="D764" s="12"/>
    </row>
    <row x14ac:dyDescent="0.25" r="765" customHeight="1" ht="15.75">
      <c r="A765" s="2"/>
      <c r="B765" s="12"/>
      <c r="C765" s="12"/>
      <c r="D765" s="12"/>
    </row>
    <row x14ac:dyDescent="0.25" r="766" customHeight="1" ht="15.75">
      <c r="A766" s="2"/>
      <c r="B766" s="12"/>
      <c r="C766" s="12"/>
      <c r="D766" s="12"/>
    </row>
    <row x14ac:dyDescent="0.25" r="767" customHeight="1" ht="15.75">
      <c r="A767" s="2"/>
      <c r="B767" s="12"/>
      <c r="C767" s="12"/>
      <c r="D767" s="12"/>
    </row>
    <row x14ac:dyDescent="0.25" r="768" customHeight="1" ht="15.75">
      <c r="A768" s="2"/>
      <c r="B768" s="12"/>
      <c r="C768" s="12"/>
      <c r="D768" s="12"/>
    </row>
    <row x14ac:dyDescent="0.25" r="769" customHeight="1" ht="15.75">
      <c r="A769" s="2"/>
      <c r="B769" s="12"/>
      <c r="C769" s="12"/>
      <c r="D769" s="12"/>
    </row>
    <row x14ac:dyDescent="0.25" r="770" customHeight="1" ht="15.75">
      <c r="A770" s="2"/>
      <c r="B770" s="12"/>
      <c r="C770" s="12"/>
      <c r="D770" s="12"/>
    </row>
    <row x14ac:dyDescent="0.25" r="771" customHeight="1" ht="15.75">
      <c r="A771" s="2"/>
      <c r="B771" s="12"/>
      <c r="C771" s="12"/>
      <c r="D771" s="12"/>
    </row>
    <row x14ac:dyDescent="0.25" r="772" customHeight="1" ht="15.75">
      <c r="A772" s="2"/>
      <c r="B772" s="12"/>
      <c r="C772" s="12"/>
      <c r="D772" s="12"/>
    </row>
    <row x14ac:dyDescent="0.25" r="773" customHeight="1" ht="15.75">
      <c r="A773" s="2"/>
      <c r="B773" s="12"/>
      <c r="C773" s="12"/>
      <c r="D773" s="12"/>
    </row>
    <row x14ac:dyDescent="0.25" r="774" customHeight="1" ht="15.75">
      <c r="A774" s="2"/>
      <c r="B774" s="12"/>
      <c r="C774" s="12"/>
      <c r="D774" s="12"/>
    </row>
    <row x14ac:dyDescent="0.25" r="775" customHeight="1" ht="15.75">
      <c r="A775" s="2"/>
      <c r="B775" s="12"/>
      <c r="C775" s="12"/>
      <c r="D775" s="12"/>
    </row>
    <row x14ac:dyDescent="0.25" r="776" customHeight="1" ht="15.75">
      <c r="A776" s="2"/>
      <c r="B776" s="12"/>
      <c r="C776" s="12"/>
      <c r="D776" s="12"/>
    </row>
    <row x14ac:dyDescent="0.25" r="777" customHeight="1" ht="15.75">
      <c r="A777" s="2"/>
      <c r="B777" s="12"/>
      <c r="C777" s="12"/>
      <c r="D777" s="12"/>
    </row>
    <row x14ac:dyDescent="0.25" r="778" customHeight="1" ht="15.75">
      <c r="A778" s="2"/>
      <c r="B778" s="12"/>
      <c r="C778" s="12"/>
      <c r="D778" s="12"/>
    </row>
    <row x14ac:dyDescent="0.25" r="779" customHeight="1" ht="15.75">
      <c r="A779" s="2"/>
      <c r="B779" s="12"/>
      <c r="C779" s="12"/>
      <c r="D779" s="12"/>
    </row>
    <row x14ac:dyDescent="0.25" r="780" customHeight="1" ht="15.75">
      <c r="A780" s="2"/>
      <c r="B780" s="12"/>
      <c r="C780" s="12"/>
      <c r="D780" s="12"/>
    </row>
    <row x14ac:dyDescent="0.25" r="781" customHeight="1" ht="15.75">
      <c r="A781" s="2"/>
      <c r="B781" s="12"/>
      <c r="C781" s="12"/>
      <c r="D781" s="12"/>
    </row>
    <row x14ac:dyDescent="0.25" r="782" customHeight="1" ht="15.75">
      <c r="A782" s="2"/>
      <c r="B782" s="12"/>
      <c r="C782" s="12"/>
      <c r="D782" s="12"/>
    </row>
    <row x14ac:dyDescent="0.25" r="783" customHeight="1" ht="15.75">
      <c r="A783" s="2"/>
      <c r="B783" s="12"/>
      <c r="C783" s="12"/>
      <c r="D783" s="12"/>
    </row>
    <row x14ac:dyDescent="0.25" r="784" customHeight="1" ht="15.75">
      <c r="A784" s="2"/>
      <c r="B784" s="12"/>
      <c r="C784" s="12"/>
      <c r="D784" s="12"/>
    </row>
    <row x14ac:dyDescent="0.25" r="785" customHeight="1" ht="15.75">
      <c r="A785" s="2"/>
      <c r="B785" s="12"/>
      <c r="C785" s="12"/>
      <c r="D785" s="12"/>
    </row>
    <row x14ac:dyDescent="0.25" r="786" customHeight="1" ht="15.75">
      <c r="A786" s="2"/>
      <c r="B786" s="12"/>
      <c r="C786" s="12"/>
      <c r="D786" s="12"/>
    </row>
    <row x14ac:dyDescent="0.25" r="787" customHeight="1" ht="15.75">
      <c r="A787" s="2"/>
      <c r="B787" s="12"/>
      <c r="C787" s="12"/>
      <c r="D787" s="12"/>
    </row>
    <row x14ac:dyDescent="0.25" r="788" customHeight="1" ht="15.75">
      <c r="A788" s="2"/>
      <c r="B788" s="12"/>
      <c r="C788" s="12"/>
      <c r="D788" s="12"/>
    </row>
    <row x14ac:dyDescent="0.25" r="789" customHeight="1" ht="15.75">
      <c r="A789" s="2"/>
      <c r="B789" s="12"/>
      <c r="C789" s="12"/>
      <c r="D789" s="12"/>
    </row>
    <row x14ac:dyDescent="0.25" r="790" customHeight="1" ht="15.75">
      <c r="A790" s="2"/>
      <c r="B790" s="12"/>
      <c r="C790" s="12"/>
      <c r="D790" s="12"/>
    </row>
    <row x14ac:dyDescent="0.25" r="791" customHeight="1" ht="15.75">
      <c r="A791" s="2"/>
      <c r="B791" s="12"/>
      <c r="C791" s="12"/>
      <c r="D791" s="12"/>
    </row>
    <row x14ac:dyDescent="0.25" r="792" customHeight="1" ht="15.75">
      <c r="A792" s="2"/>
      <c r="B792" s="12"/>
      <c r="C792" s="12"/>
      <c r="D792" s="12"/>
    </row>
    <row x14ac:dyDescent="0.25" r="793" customHeight="1" ht="15.75">
      <c r="A793" s="2"/>
      <c r="B793" s="12"/>
      <c r="C793" s="12"/>
      <c r="D793" s="12"/>
    </row>
    <row x14ac:dyDescent="0.25" r="794" customHeight="1" ht="15.75">
      <c r="A794" s="2"/>
      <c r="B794" s="12"/>
      <c r="C794" s="12"/>
      <c r="D794" s="12"/>
    </row>
    <row x14ac:dyDescent="0.25" r="795" customHeight="1" ht="15.75">
      <c r="A795" s="2"/>
      <c r="B795" s="12"/>
      <c r="C795" s="12"/>
      <c r="D795" s="12"/>
    </row>
    <row x14ac:dyDescent="0.25" r="796" customHeight="1" ht="15.75">
      <c r="A796" s="2"/>
      <c r="B796" s="12"/>
      <c r="C796" s="12"/>
      <c r="D796" s="12"/>
    </row>
    <row x14ac:dyDescent="0.25" r="797" customHeight="1" ht="15.75">
      <c r="A797" s="2"/>
      <c r="B797" s="12"/>
      <c r="C797" s="12"/>
      <c r="D797" s="12"/>
    </row>
    <row x14ac:dyDescent="0.25" r="798" customHeight="1" ht="15.75">
      <c r="A798" s="2"/>
      <c r="B798" s="12"/>
      <c r="C798" s="12"/>
      <c r="D798" s="12"/>
    </row>
    <row x14ac:dyDescent="0.25" r="799" customHeight="1" ht="15.75">
      <c r="A799" s="2"/>
      <c r="B799" s="12"/>
      <c r="C799" s="12"/>
      <c r="D799" s="12"/>
    </row>
    <row x14ac:dyDescent="0.25" r="800" customHeight="1" ht="15.75">
      <c r="A800" s="2"/>
      <c r="B800" s="12"/>
      <c r="C800" s="12"/>
      <c r="D800" s="12"/>
    </row>
    <row x14ac:dyDescent="0.25" r="801" customHeight="1" ht="15.75">
      <c r="A801" s="2"/>
      <c r="B801" s="12"/>
      <c r="C801" s="12"/>
      <c r="D801" s="12"/>
    </row>
    <row x14ac:dyDescent="0.25" r="802" customHeight="1" ht="15.75">
      <c r="A802" s="2"/>
      <c r="B802" s="12"/>
      <c r="C802" s="12"/>
      <c r="D802" s="12"/>
    </row>
    <row x14ac:dyDescent="0.25" r="803" customHeight="1" ht="15.75">
      <c r="A803" s="2"/>
      <c r="B803" s="12"/>
      <c r="C803" s="12"/>
      <c r="D803" s="12"/>
    </row>
    <row x14ac:dyDescent="0.25" r="804" customHeight="1" ht="15.75">
      <c r="A804" s="2"/>
      <c r="B804" s="12"/>
      <c r="C804" s="12"/>
      <c r="D804" s="12"/>
    </row>
    <row x14ac:dyDescent="0.25" r="805" customHeight="1" ht="15.75">
      <c r="A805" s="2"/>
      <c r="B805" s="12"/>
      <c r="C805" s="12"/>
      <c r="D805" s="12"/>
    </row>
    <row x14ac:dyDescent="0.25" r="806" customHeight="1" ht="15.75">
      <c r="A806" s="2"/>
      <c r="B806" s="12"/>
      <c r="C806" s="12"/>
      <c r="D806" s="12"/>
    </row>
    <row x14ac:dyDescent="0.25" r="807" customHeight="1" ht="15.75">
      <c r="A807" s="2"/>
      <c r="B807" s="12"/>
      <c r="C807" s="12"/>
      <c r="D807" s="12"/>
    </row>
    <row x14ac:dyDescent="0.25" r="808" customHeight="1" ht="15.75">
      <c r="A808" s="2"/>
      <c r="B808" s="12"/>
      <c r="C808" s="12"/>
      <c r="D808" s="12"/>
    </row>
    <row x14ac:dyDescent="0.25" r="809" customHeight="1" ht="15.75">
      <c r="A809" s="2"/>
      <c r="B809" s="12"/>
      <c r="C809" s="12"/>
      <c r="D809" s="12"/>
    </row>
    <row x14ac:dyDescent="0.25" r="810" customHeight="1" ht="15.75">
      <c r="A810" s="2"/>
      <c r="B810" s="12"/>
      <c r="C810" s="12"/>
      <c r="D810" s="12"/>
    </row>
    <row x14ac:dyDescent="0.25" r="811" customHeight="1" ht="15.75">
      <c r="A811" s="2"/>
      <c r="B811" s="12"/>
      <c r="C811" s="12"/>
      <c r="D811" s="12"/>
    </row>
    <row x14ac:dyDescent="0.25" r="812" customHeight="1" ht="15.75">
      <c r="A812" s="2"/>
      <c r="B812" s="12"/>
      <c r="C812" s="12"/>
      <c r="D812" s="12"/>
    </row>
    <row x14ac:dyDescent="0.25" r="813" customHeight="1" ht="15.75">
      <c r="A813" s="2"/>
      <c r="B813" s="12"/>
      <c r="C813" s="12"/>
      <c r="D813" s="12"/>
    </row>
    <row x14ac:dyDescent="0.25" r="814" customHeight="1" ht="15.75">
      <c r="A814" s="2"/>
      <c r="B814" s="12"/>
      <c r="C814" s="12"/>
      <c r="D814" s="12"/>
    </row>
    <row x14ac:dyDescent="0.25" r="815" customHeight="1" ht="15.75">
      <c r="A815" s="2"/>
      <c r="B815" s="12"/>
      <c r="C815" s="12"/>
      <c r="D815" s="12"/>
    </row>
    <row x14ac:dyDescent="0.25" r="816" customHeight="1" ht="15.75">
      <c r="A816" s="2"/>
      <c r="B816" s="12"/>
      <c r="C816" s="12"/>
      <c r="D816" s="12"/>
    </row>
    <row x14ac:dyDescent="0.25" r="817" customHeight="1" ht="15.75">
      <c r="A817" s="2"/>
      <c r="B817" s="12"/>
      <c r="C817" s="12"/>
      <c r="D817" s="12"/>
    </row>
    <row x14ac:dyDescent="0.25" r="818" customHeight="1" ht="15.75">
      <c r="A818" s="2"/>
      <c r="B818" s="12"/>
      <c r="C818" s="12"/>
      <c r="D818" s="12"/>
    </row>
    <row x14ac:dyDescent="0.25" r="819" customHeight="1" ht="15.75">
      <c r="A819" s="2"/>
      <c r="B819" s="12"/>
      <c r="C819" s="12"/>
      <c r="D819" s="12"/>
    </row>
    <row x14ac:dyDescent="0.25" r="820" customHeight="1" ht="15.75">
      <c r="A820" s="2"/>
      <c r="B820" s="12"/>
      <c r="C820" s="12"/>
      <c r="D820" s="12"/>
    </row>
    <row x14ac:dyDescent="0.25" r="821" customHeight="1" ht="15.75">
      <c r="A821" s="2"/>
      <c r="B821" s="12"/>
      <c r="C821" s="12"/>
      <c r="D821" s="12"/>
    </row>
    <row x14ac:dyDescent="0.25" r="822" customHeight="1" ht="15.75">
      <c r="A822" s="2"/>
      <c r="B822" s="12"/>
      <c r="C822" s="12"/>
      <c r="D822" s="12"/>
    </row>
    <row x14ac:dyDescent="0.25" r="823" customHeight="1" ht="15.75">
      <c r="A823" s="2"/>
      <c r="B823" s="12"/>
      <c r="C823" s="12"/>
      <c r="D823" s="12"/>
    </row>
    <row x14ac:dyDescent="0.25" r="824" customHeight="1" ht="15.75">
      <c r="A824" s="2"/>
      <c r="B824" s="12"/>
      <c r="C824" s="12"/>
      <c r="D824" s="12"/>
    </row>
    <row x14ac:dyDescent="0.25" r="825" customHeight="1" ht="15.75">
      <c r="A825" s="2"/>
      <c r="B825" s="12"/>
      <c r="C825" s="12"/>
      <c r="D825" s="12"/>
    </row>
    <row x14ac:dyDescent="0.25" r="826" customHeight="1" ht="15.75">
      <c r="A826" s="2"/>
      <c r="B826" s="12"/>
      <c r="C826" s="12"/>
      <c r="D826" s="12"/>
    </row>
    <row x14ac:dyDescent="0.25" r="827" customHeight="1" ht="15.75">
      <c r="A827" s="2"/>
      <c r="B827" s="12"/>
      <c r="C827" s="12"/>
      <c r="D827" s="12"/>
    </row>
    <row x14ac:dyDescent="0.25" r="828" customHeight="1" ht="15.75">
      <c r="A828" s="2"/>
      <c r="B828" s="12"/>
      <c r="C828" s="12"/>
      <c r="D828" s="12"/>
    </row>
    <row x14ac:dyDescent="0.25" r="829" customHeight="1" ht="15.75">
      <c r="A829" s="2"/>
      <c r="B829" s="12"/>
      <c r="C829" s="12"/>
      <c r="D829" s="12"/>
    </row>
    <row x14ac:dyDescent="0.25" r="830" customHeight="1" ht="15.75">
      <c r="A830" s="2"/>
      <c r="B830" s="12"/>
      <c r="C830" s="12"/>
      <c r="D830" s="12"/>
    </row>
    <row x14ac:dyDescent="0.25" r="831" customHeight="1" ht="15.75">
      <c r="A831" s="2"/>
      <c r="B831" s="12"/>
      <c r="C831" s="12"/>
      <c r="D831" s="12"/>
    </row>
    <row x14ac:dyDescent="0.25" r="832" customHeight="1" ht="15.75">
      <c r="A832" s="2"/>
      <c r="B832" s="12"/>
      <c r="C832" s="12"/>
      <c r="D832" s="12"/>
    </row>
    <row x14ac:dyDescent="0.25" r="833" customHeight="1" ht="15.75">
      <c r="A833" s="2"/>
      <c r="B833" s="12"/>
      <c r="C833" s="12"/>
      <c r="D833" s="12"/>
    </row>
    <row x14ac:dyDescent="0.25" r="834" customHeight="1" ht="15.75">
      <c r="A834" s="2"/>
      <c r="B834" s="12"/>
      <c r="C834" s="12"/>
      <c r="D834" s="12"/>
    </row>
    <row x14ac:dyDescent="0.25" r="835" customHeight="1" ht="15.75">
      <c r="A835" s="2"/>
      <c r="B835" s="12"/>
      <c r="C835" s="12"/>
      <c r="D835" s="12"/>
    </row>
    <row x14ac:dyDescent="0.25" r="836" customHeight="1" ht="15.75">
      <c r="A836" s="2"/>
      <c r="B836" s="12"/>
      <c r="C836" s="12"/>
      <c r="D836" s="12"/>
    </row>
    <row x14ac:dyDescent="0.25" r="837" customHeight="1" ht="15.75">
      <c r="A837" s="2"/>
      <c r="B837" s="12"/>
      <c r="C837" s="12"/>
      <c r="D837" s="12"/>
    </row>
    <row x14ac:dyDescent="0.25" r="838" customHeight="1" ht="15.75">
      <c r="A838" s="2"/>
      <c r="B838" s="12"/>
      <c r="C838" s="12"/>
      <c r="D838" s="12"/>
    </row>
    <row x14ac:dyDescent="0.25" r="839" customHeight="1" ht="15.75">
      <c r="A839" s="2"/>
      <c r="B839" s="12"/>
      <c r="C839" s="12"/>
      <c r="D839" s="12"/>
    </row>
    <row x14ac:dyDescent="0.25" r="840" customHeight="1" ht="15.75">
      <c r="A840" s="2"/>
      <c r="B840" s="12"/>
      <c r="C840" s="12"/>
      <c r="D840" s="12"/>
    </row>
    <row x14ac:dyDescent="0.25" r="841" customHeight="1" ht="15.75">
      <c r="A841" s="2"/>
      <c r="B841" s="12"/>
      <c r="C841" s="12"/>
      <c r="D841" s="12"/>
    </row>
    <row x14ac:dyDescent="0.25" r="842" customHeight="1" ht="15.75">
      <c r="A842" s="2"/>
      <c r="B842" s="12"/>
      <c r="C842" s="12"/>
      <c r="D842" s="12"/>
    </row>
    <row x14ac:dyDescent="0.25" r="843" customHeight="1" ht="15.75">
      <c r="A843" s="2"/>
      <c r="B843" s="12"/>
      <c r="C843" s="12"/>
      <c r="D843" s="12"/>
    </row>
    <row x14ac:dyDescent="0.25" r="844" customHeight="1" ht="15.75">
      <c r="A844" s="2"/>
      <c r="B844" s="12"/>
      <c r="C844" s="12"/>
      <c r="D844" s="12"/>
    </row>
    <row x14ac:dyDescent="0.25" r="845" customHeight="1" ht="15.75">
      <c r="A845" s="2"/>
      <c r="B845" s="12"/>
      <c r="C845" s="12"/>
      <c r="D845" s="12"/>
    </row>
    <row x14ac:dyDescent="0.25" r="846" customHeight="1" ht="15.75">
      <c r="A846" s="2"/>
      <c r="B846" s="12"/>
      <c r="C846" s="12"/>
      <c r="D846" s="12"/>
    </row>
    <row x14ac:dyDescent="0.25" r="847" customHeight="1" ht="15.75">
      <c r="A847" s="2"/>
      <c r="B847" s="12"/>
      <c r="C847" s="12"/>
      <c r="D847" s="12"/>
    </row>
    <row x14ac:dyDescent="0.25" r="848" customHeight="1" ht="15.75">
      <c r="A848" s="2"/>
      <c r="B848" s="12"/>
      <c r="C848" s="12"/>
      <c r="D848" s="12"/>
    </row>
    <row x14ac:dyDescent="0.25" r="849" customHeight="1" ht="15.75">
      <c r="A849" s="2"/>
      <c r="B849" s="12"/>
      <c r="C849" s="12"/>
      <c r="D849" s="12"/>
    </row>
    <row x14ac:dyDescent="0.25" r="850" customHeight="1" ht="15.75">
      <c r="A850" s="2"/>
      <c r="B850" s="12"/>
      <c r="C850" s="12"/>
      <c r="D850" s="12"/>
    </row>
    <row x14ac:dyDescent="0.25" r="851" customHeight="1" ht="15.75">
      <c r="A851" s="2"/>
      <c r="B851" s="12"/>
      <c r="C851" s="12"/>
      <c r="D851" s="12"/>
    </row>
    <row x14ac:dyDescent="0.25" r="852" customHeight="1" ht="15.75">
      <c r="A852" s="2"/>
      <c r="B852" s="12"/>
      <c r="C852" s="12"/>
      <c r="D852" s="12"/>
    </row>
    <row x14ac:dyDescent="0.25" r="853" customHeight="1" ht="15.75">
      <c r="A853" s="2"/>
      <c r="B853" s="12"/>
      <c r="C853" s="12"/>
      <c r="D853" s="12"/>
    </row>
    <row x14ac:dyDescent="0.25" r="854" customHeight="1" ht="15.75">
      <c r="A854" s="2"/>
      <c r="B854" s="12"/>
      <c r="C854" s="12"/>
      <c r="D854" s="12"/>
    </row>
    <row x14ac:dyDescent="0.25" r="855" customHeight="1" ht="15.75">
      <c r="A855" s="2"/>
      <c r="B855" s="12"/>
      <c r="C855" s="12"/>
      <c r="D855" s="12"/>
    </row>
    <row x14ac:dyDescent="0.25" r="856" customHeight="1" ht="15.75">
      <c r="A856" s="2"/>
      <c r="B856" s="12"/>
      <c r="C856" s="12"/>
      <c r="D856" s="12"/>
    </row>
    <row x14ac:dyDescent="0.25" r="857" customHeight="1" ht="15.75">
      <c r="A857" s="2"/>
      <c r="B857" s="12"/>
      <c r="C857" s="12"/>
      <c r="D857" s="12"/>
    </row>
    <row x14ac:dyDescent="0.25" r="858" customHeight="1" ht="15.75">
      <c r="A858" s="2"/>
      <c r="B858" s="12"/>
      <c r="C858" s="12"/>
      <c r="D858" s="12"/>
    </row>
    <row x14ac:dyDescent="0.25" r="859" customHeight="1" ht="15.75">
      <c r="A859" s="2"/>
      <c r="B859" s="12"/>
      <c r="C859" s="12"/>
      <c r="D859" s="12"/>
    </row>
    <row x14ac:dyDescent="0.25" r="860" customHeight="1" ht="15.75">
      <c r="A860" s="2"/>
      <c r="B860" s="12"/>
      <c r="C860" s="12"/>
      <c r="D860" s="12"/>
    </row>
    <row x14ac:dyDescent="0.25" r="861" customHeight="1" ht="15.75">
      <c r="A861" s="2"/>
      <c r="B861" s="12"/>
      <c r="C861" s="12"/>
      <c r="D861" s="12"/>
    </row>
    <row x14ac:dyDescent="0.25" r="862" customHeight="1" ht="15.75">
      <c r="A862" s="2"/>
      <c r="B862" s="12"/>
      <c r="C862" s="12"/>
      <c r="D862" s="12"/>
    </row>
    <row x14ac:dyDescent="0.25" r="863" customHeight="1" ht="15.75">
      <c r="A863" s="2"/>
      <c r="B863" s="12"/>
      <c r="C863" s="12"/>
      <c r="D863" s="12"/>
    </row>
    <row x14ac:dyDescent="0.25" r="864" customHeight="1" ht="15.75">
      <c r="A864" s="2"/>
      <c r="B864" s="12"/>
      <c r="C864" s="12"/>
      <c r="D864" s="12"/>
    </row>
    <row x14ac:dyDescent="0.25" r="865" customHeight="1" ht="15.75">
      <c r="A865" s="2"/>
      <c r="B865" s="12"/>
      <c r="C865" s="12"/>
      <c r="D865" s="12"/>
    </row>
    <row x14ac:dyDescent="0.25" r="866" customHeight="1" ht="15.75">
      <c r="A866" s="2"/>
      <c r="B866" s="12"/>
      <c r="C866" s="12"/>
      <c r="D866" s="12"/>
    </row>
    <row x14ac:dyDescent="0.25" r="867" customHeight="1" ht="15.75">
      <c r="A867" s="2"/>
      <c r="B867" s="12"/>
      <c r="C867" s="12"/>
      <c r="D867" s="12"/>
    </row>
    <row x14ac:dyDescent="0.25" r="868" customHeight="1" ht="15.75">
      <c r="A868" s="2"/>
      <c r="B868" s="12"/>
      <c r="C868" s="12"/>
      <c r="D868" s="12"/>
    </row>
    <row x14ac:dyDescent="0.25" r="869" customHeight="1" ht="15.75">
      <c r="A869" s="2"/>
      <c r="B869" s="12"/>
      <c r="C869" s="12"/>
      <c r="D869" s="12"/>
    </row>
    <row x14ac:dyDescent="0.25" r="870" customHeight="1" ht="15.75">
      <c r="A870" s="2"/>
      <c r="B870" s="12"/>
      <c r="C870" s="12"/>
      <c r="D870" s="12"/>
    </row>
    <row x14ac:dyDescent="0.25" r="871" customHeight="1" ht="15.75">
      <c r="A871" s="2"/>
      <c r="B871" s="12"/>
      <c r="C871" s="12"/>
      <c r="D871" s="12"/>
    </row>
    <row x14ac:dyDescent="0.25" r="872" customHeight="1" ht="15.75">
      <c r="A872" s="2"/>
      <c r="B872" s="12"/>
      <c r="C872" s="12"/>
      <c r="D872" s="12"/>
    </row>
    <row x14ac:dyDescent="0.25" r="873" customHeight="1" ht="15.75">
      <c r="A873" s="2"/>
      <c r="B873" s="12"/>
      <c r="C873" s="12"/>
      <c r="D873" s="12"/>
    </row>
    <row x14ac:dyDescent="0.25" r="874" customHeight="1" ht="15.75">
      <c r="A874" s="2"/>
      <c r="B874" s="12"/>
      <c r="C874" s="12"/>
      <c r="D874" s="12"/>
    </row>
    <row x14ac:dyDescent="0.25" r="875" customHeight="1" ht="15.75">
      <c r="A875" s="2"/>
      <c r="B875" s="12"/>
      <c r="C875" s="12"/>
      <c r="D875" s="12"/>
    </row>
    <row x14ac:dyDescent="0.25" r="876" customHeight="1" ht="15.75">
      <c r="A876" s="2"/>
      <c r="B876" s="12"/>
      <c r="C876" s="12"/>
      <c r="D876" s="12"/>
    </row>
    <row x14ac:dyDescent="0.25" r="877" customHeight="1" ht="15.75">
      <c r="A877" s="2"/>
      <c r="B877" s="12"/>
      <c r="C877" s="12"/>
      <c r="D877" s="12"/>
    </row>
    <row x14ac:dyDescent="0.25" r="878" customHeight="1" ht="15.75">
      <c r="A878" s="2"/>
      <c r="B878" s="12"/>
      <c r="C878" s="12"/>
      <c r="D878" s="12"/>
    </row>
    <row x14ac:dyDescent="0.25" r="879" customHeight="1" ht="15.75">
      <c r="A879" s="2"/>
      <c r="B879" s="12"/>
      <c r="C879" s="12"/>
      <c r="D879" s="12"/>
    </row>
    <row x14ac:dyDescent="0.25" r="880" customHeight="1" ht="15.75">
      <c r="A880" s="2"/>
      <c r="B880" s="12"/>
      <c r="C880" s="12"/>
      <c r="D880" s="12"/>
    </row>
    <row x14ac:dyDescent="0.25" r="881" customHeight="1" ht="15.75">
      <c r="A881" s="2"/>
      <c r="B881" s="12"/>
      <c r="C881" s="12"/>
      <c r="D881" s="12"/>
    </row>
    <row x14ac:dyDescent="0.25" r="882" customHeight="1" ht="15.75">
      <c r="A882" s="2"/>
      <c r="B882" s="12"/>
      <c r="C882" s="12"/>
      <c r="D882" s="12"/>
    </row>
    <row x14ac:dyDescent="0.25" r="883" customHeight="1" ht="15.75">
      <c r="A883" s="2"/>
      <c r="B883" s="12"/>
      <c r="C883" s="12"/>
      <c r="D883" s="12"/>
    </row>
    <row x14ac:dyDescent="0.25" r="884" customHeight="1" ht="15.75">
      <c r="A884" s="2"/>
      <c r="B884" s="12"/>
      <c r="C884" s="12"/>
      <c r="D884" s="12"/>
    </row>
    <row x14ac:dyDescent="0.25" r="885" customHeight="1" ht="15.75">
      <c r="A885" s="2"/>
      <c r="B885" s="12"/>
      <c r="C885" s="12"/>
      <c r="D885" s="12"/>
    </row>
    <row x14ac:dyDescent="0.25" r="886" customHeight="1" ht="15.75">
      <c r="A886" s="2"/>
      <c r="B886" s="12"/>
      <c r="C886" s="12"/>
      <c r="D886" s="12"/>
    </row>
    <row x14ac:dyDescent="0.25" r="887" customHeight="1" ht="15.75">
      <c r="A887" s="2"/>
      <c r="B887" s="12"/>
      <c r="C887" s="12"/>
      <c r="D887" s="12"/>
    </row>
    <row x14ac:dyDescent="0.25" r="888" customHeight="1" ht="15.75">
      <c r="A888" s="2"/>
      <c r="B888" s="12"/>
      <c r="C888" s="12"/>
      <c r="D888" s="12"/>
    </row>
    <row x14ac:dyDescent="0.25" r="889" customHeight="1" ht="15.75">
      <c r="A889" s="2"/>
      <c r="B889" s="12"/>
      <c r="C889" s="12"/>
      <c r="D889" s="12"/>
    </row>
    <row x14ac:dyDescent="0.25" r="890" customHeight="1" ht="15.75">
      <c r="A890" s="2"/>
      <c r="B890" s="12"/>
      <c r="C890" s="12"/>
      <c r="D890" s="12"/>
    </row>
    <row x14ac:dyDescent="0.25" r="891" customHeight="1" ht="15.75">
      <c r="A891" s="2"/>
      <c r="B891" s="12"/>
      <c r="C891" s="12"/>
      <c r="D891" s="12"/>
    </row>
    <row x14ac:dyDescent="0.25" r="892" customHeight="1" ht="15.75">
      <c r="A892" s="2"/>
      <c r="B892" s="12"/>
      <c r="C892" s="12"/>
      <c r="D892" s="12"/>
    </row>
    <row x14ac:dyDescent="0.25" r="893" customHeight="1" ht="15.75">
      <c r="A893" s="2"/>
      <c r="B893" s="12"/>
      <c r="C893" s="12"/>
      <c r="D893" s="12"/>
    </row>
    <row x14ac:dyDescent="0.25" r="894" customHeight="1" ht="15.75">
      <c r="A894" s="2"/>
      <c r="B894" s="12"/>
      <c r="C894" s="12"/>
      <c r="D894" s="12"/>
    </row>
    <row x14ac:dyDescent="0.25" r="895" customHeight="1" ht="15.75">
      <c r="A895" s="2"/>
      <c r="B895" s="12"/>
      <c r="C895" s="12"/>
      <c r="D895" s="12"/>
    </row>
    <row x14ac:dyDescent="0.25" r="896" customHeight="1" ht="15.75">
      <c r="A896" s="2"/>
      <c r="B896" s="12"/>
      <c r="C896" s="12"/>
      <c r="D896" s="12"/>
    </row>
    <row x14ac:dyDescent="0.25" r="897" customHeight="1" ht="15.75">
      <c r="A897" s="2"/>
      <c r="B897" s="12"/>
      <c r="C897" s="12"/>
      <c r="D897" s="12"/>
    </row>
    <row x14ac:dyDescent="0.25" r="898" customHeight="1" ht="15.75">
      <c r="A898" s="2"/>
      <c r="B898" s="12"/>
      <c r="C898" s="12"/>
      <c r="D898" s="12"/>
    </row>
    <row x14ac:dyDescent="0.25" r="899" customHeight="1" ht="15.75">
      <c r="A899" s="2"/>
      <c r="B899" s="12"/>
      <c r="C899" s="12"/>
      <c r="D899" s="12"/>
    </row>
    <row x14ac:dyDescent="0.25" r="900" customHeight="1" ht="15.75">
      <c r="A900" s="2"/>
      <c r="B900" s="12"/>
      <c r="C900" s="12"/>
      <c r="D900" s="12"/>
    </row>
    <row x14ac:dyDescent="0.25" r="901" customHeight="1" ht="15.75">
      <c r="A901" s="2"/>
      <c r="B901" s="12"/>
      <c r="C901" s="12"/>
      <c r="D901" s="12"/>
    </row>
    <row x14ac:dyDescent="0.25" r="902" customHeight="1" ht="15.75">
      <c r="A902" s="2"/>
      <c r="B902" s="12"/>
      <c r="C902" s="12"/>
      <c r="D902" s="12"/>
    </row>
    <row x14ac:dyDescent="0.25" r="903" customHeight="1" ht="15.75">
      <c r="A903" s="2"/>
      <c r="B903" s="12"/>
      <c r="C903" s="12"/>
      <c r="D903" s="12"/>
    </row>
    <row x14ac:dyDescent="0.25" r="904" customHeight="1" ht="15.75">
      <c r="A904" s="2"/>
      <c r="B904" s="12"/>
      <c r="C904" s="12"/>
      <c r="D904" s="12"/>
    </row>
    <row x14ac:dyDescent="0.25" r="905" customHeight="1" ht="15.75">
      <c r="A905" s="2"/>
      <c r="B905" s="12"/>
      <c r="C905" s="12"/>
      <c r="D905" s="12"/>
    </row>
    <row x14ac:dyDescent="0.25" r="906" customHeight="1" ht="15.75">
      <c r="A906" s="2"/>
      <c r="B906" s="12"/>
      <c r="C906" s="12"/>
      <c r="D906" s="12"/>
    </row>
    <row x14ac:dyDescent="0.25" r="907" customHeight="1" ht="15.75">
      <c r="A907" s="2"/>
      <c r="B907" s="12"/>
      <c r="C907" s="12"/>
      <c r="D907" s="12"/>
    </row>
    <row x14ac:dyDescent="0.25" r="908" customHeight="1" ht="15.75">
      <c r="A908" s="2"/>
      <c r="B908" s="12"/>
      <c r="C908" s="12"/>
      <c r="D908" s="12"/>
    </row>
    <row x14ac:dyDescent="0.25" r="909" customHeight="1" ht="15.75">
      <c r="A909" s="2"/>
      <c r="B909" s="12"/>
      <c r="C909" s="12"/>
      <c r="D909" s="12"/>
    </row>
    <row x14ac:dyDescent="0.25" r="910" customHeight="1" ht="15.75">
      <c r="A910" s="2"/>
      <c r="B910" s="12"/>
      <c r="C910" s="12"/>
      <c r="D910" s="12"/>
    </row>
    <row x14ac:dyDescent="0.25" r="911" customHeight="1" ht="15.75">
      <c r="A911" s="2"/>
      <c r="B911" s="12"/>
      <c r="C911" s="12"/>
      <c r="D911" s="12"/>
    </row>
    <row x14ac:dyDescent="0.25" r="912" customHeight="1" ht="15.75">
      <c r="A912" s="2"/>
      <c r="B912" s="12"/>
      <c r="C912" s="12"/>
      <c r="D912" s="12"/>
    </row>
    <row x14ac:dyDescent="0.25" r="913" customHeight="1" ht="15.75">
      <c r="A913" s="2"/>
      <c r="B913" s="12"/>
      <c r="C913" s="12"/>
      <c r="D913" s="12"/>
    </row>
    <row x14ac:dyDescent="0.25" r="914" customHeight="1" ht="15.75">
      <c r="A914" s="2"/>
      <c r="B914" s="12"/>
      <c r="C914" s="12"/>
      <c r="D914" s="12"/>
    </row>
    <row x14ac:dyDescent="0.25" r="915" customHeight="1" ht="15.75">
      <c r="A915" s="2"/>
      <c r="B915" s="12"/>
      <c r="C915" s="12"/>
      <c r="D915" s="12"/>
    </row>
    <row x14ac:dyDescent="0.25" r="916" customHeight="1" ht="15.75">
      <c r="A916" s="2"/>
      <c r="B916" s="12"/>
      <c r="C916" s="12"/>
      <c r="D916" s="12"/>
    </row>
    <row x14ac:dyDescent="0.25" r="917" customHeight="1" ht="15.75">
      <c r="A917" s="2"/>
      <c r="B917" s="12"/>
      <c r="C917" s="12"/>
      <c r="D917" s="12"/>
    </row>
    <row x14ac:dyDescent="0.25" r="918" customHeight="1" ht="15.75">
      <c r="A918" s="2"/>
      <c r="B918" s="12"/>
      <c r="C918" s="12"/>
      <c r="D918" s="12"/>
    </row>
    <row x14ac:dyDescent="0.25" r="919" customHeight="1" ht="15.75">
      <c r="A919" s="2"/>
      <c r="B919" s="12"/>
      <c r="C919" s="12"/>
      <c r="D919" s="12"/>
    </row>
    <row x14ac:dyDescent="0.25" r="920" customHeight="1" ht="15.75">
      <c r="A920" s="2"/>
      <c r="B920" s="12"/>
      <c r="C920" s="12"/>
      <c r="D920" s="12"/>
    </row>
    <row x14ac:dyDescent="0.25" r="921" customHeight="1" ht="15.75">
      <c r="A921" s="2"/>
      <c r="B921" s="12"/>
      <c r="C921" s="12"/>
      <c r="D921" s="12"/>
    </row>
    <row x14ac:dyDescent="0.25" r="922" customHeight="1" ht="15.75">
      <c r="A922" s="2"/>
      <c r="B922" s="12"/>
      <c r="C922" s="12"/>
      <c r="D922" s="12"/>
    </row>
    <row x14ac:dyDescent="0.25" r="923" customHeight="1" ht="15.75">
      <c r="A923" s="2"/>
      <c r="B923" s="12"/>
      <c r="C923" s="12"/>
      <c r="D923" s="12"/>
    </row>
    <row x14ac:dyDescent="0.25" r="924" customHeight="1" ht="15.75">
      <c r="A924" s="2"/>
      <c r="B924" s="12"/>
      <c r="C924" s="12"/>
      <c r="D924" s="12"/>
    </row>
    <row x14ac:dyDescent="0.25" r="925" customHeight="1" ht="15.75">
      <c r="A925" s="2"/>
      <c r="B925" s="12"/>
      <c r="C925" s="12"/>
      <c r="D925" s="12"/>
    </row>
    <row x14ac:dyDescent="0.25" r="926" customHeight="1" ht="15.75">
      <c r="A926" s="2"/>
      <c r="B926" s="12"/>
      <c r="C926" s="12"/>
      <c r="D926" s="12"/>
    </row>
    <row x14ac:dyDescent="0.25" r="927" customHeight="1" ht="15.75">
      <c r="A927" s="2"/>
      <c r="B927" s="12"/>
      <c r="C927" s="12"/>
      <c r="D927" s="12"/>
    </row>
    <row x14ac:dyDescent="0.25" r="928" customHeight="1" ht="15.75">
      <c r="A928" s="2"/>
      <c r="B928" s="12"/>
      <c r="C928" s="12"/>
      <c r="D928" s="12"/>
    </row>
    <row x14ac:dyDescent="0.25" r="929" customHeight="1" ht="15.75">
      <c r="A929" s="2"/>
      <c r="B929" s="12"/>
      <c r="C929" s="12"/>
      <c r="D929" s="12"/>
    </row>
    <row x14ac:dyDescent="0.25" r="930" customHeight="1" ht="15.75">
      <c r="A930" s="2"/>
      <c r="B930" s="12"/>
      <c r="C930" s="12"/>
      <c r="D930" s="12"/>
    </row>
    <row x14ac:dyDescent="0.25" r="931" customHeight="1" ht="15.75">
      <c r="A931" s="2"/>
      <c r="B931" s="12"/>
      <c r="C931" s="12"/>
      <c r="D931" s="12"/>
    </row>
    <row x14ac:dyDescent="0.25" r="932" customHeight="1" ht="15.75">
      <c r="A932" s="2"/>
      <c r="B932" s="12"/>
      <c r="C932" s="12"/>
      <c r="D932" s="12"/>
    </row>
    <row x14ac:dyDescent="0.25" r="933" customHeight="1" ht="15.75">
      <c r="A933" s="2"/>
      <c r="B933" s="12"/>
      <c r="C933" s="12"/>
      <c r="D933" s="12"/>
    </row>
    <row x14ac:dyDescent="0.25" r="934" customHeight="1" ht="15.75">
      <c r="A934" s="2"/>
      <c r="B934" s="12"/>
      <c r="C934" s="12"/>
      <c r="D934" s="12"/>
    </row>
    <row x14ac:dyDescent="0.25" r="935" customHeight="1" ht="15.75">
      <c r="A935" s="2"/>
      <c r="B935" s="12"/>
      <c r="C935" s="12"/>
      <c r="D935" s="12"/>
    </row>
    <row x14ac:dyDescent="0.25" r="936" customHeight="1" ht="15.75">
      <c r="A936" s="2"/>
      <c r="B936" s="12"/>
      <c r="C936" s="12"/>
      <c r="D936" s="12"/>
    </row>
    <row x14ac:dyDescent="0.25" r="937" customHeight="1" ht="15.75">
      <c r="A937" s="2"/>
      <c r="B937" s="12"/>
      <c r="C937" s="12"/>
      <c r="D937" s="12"/>
    </row>
    <row x14ac:dyDescent="0.25" r="938" customHeight="1" ht="15.75">
      <c r="A938" s="2"/>
      <c r="B938" s="12"/>
      <c r="C938" s="12"/>
      <c r="D938" s="12"/>
    </row>
    <row x14ac:dyDescent="0.25" r="939" customHeight="1" ht="15.75">
      <c r="A939" s="2"/>
      <c r="B939" s="12"/>
      <c r="C939" s="12"/>
      <c r="D939" s="12"/>
    </row>
    <row x14ac:dyDescent="0.25" r="940" customHeight="1" ht="15.75">
      <c r="A940" s="2"/>
      <c r="B940" s="12"/>
      <c r="C940" s="12"/>
      <c r="D940" s="12"/>
    </row>
    <row x14ac:dyDescent="0.25" r="941" customHeight="1" ht="15.75">
      <c r="A941" s="2"/>
      <c r="B941" s="12"/>
      <c r="C941" s="12"/>
      <c r="D941" s="12"/>
    </row>
    <row x14ac:dyDescent="0.25" r="942" customHeight="1" ht="15.75">
      <c r="A942" s="2"/>
      <c r="B942" s="12"/>
      <c r="C942" s="12"/>
      <c r="D942" s="12"/>
    </row>
    <row x14ac:dyDescent="0.25" r="943" customHeight="1" ht="15.75">
      <c r="A943" s="2"/>
      <c r="B943" s="12"/>
      <c r="C943" s="12"/>
      <c r="D943" s="12"/>
    </row>
    <row x14ac:dyDescent="0.25" r="944" customHeight="1" ht="15.75">
      <c r="A944" s="2"/>
      <c r="B944" s="12"/>
      <c r="C944" s="12"/>
      <c r="D944" s="12"/>
    </row>
    <row x14ac:dyDescent="0.25" r="945" customHeight="1" ht="15.75">
      <c r="A945" s="2"/>
      <c r="B945" s="12"/>
      <c r="C945" s="12"/>
      <c r="D945" s="12"/>
    </row>
    <row x14ac:dyDescent="0.25" r="946" customHeight="1" ht="15.75">
      <c r="A946" s="2"/>
      <c r="B946" s="12"/>
      <c r="C946" s="12"/>
      <c r="D946" s="12"/>
    </row>
    <row x14ac:dyDescent="0.25" r="947" customHeight="1" ht="15.75">
      <c r="A947" s="2"/>
      <c r="B947" s="12"/>
      <c r="C947" s="12"/>
      <c r="D947" s="12"/>
    </row>
    <row x14ac:dyDescent="0.25" r="948" customHeight="1" ht="15.75">
      <c r="A948" s="2"/>
      <c r="B948" s="12"/>
      <c r="C948" s="12"/>
      <c r="D948" s="12"/>
    </row>
    <row x14ac:dyDescent="0.25" r="949" customHeight="1" ht="15.75">
      <c r="A949" s="2"/>
      <c r="B949" s="12"/>
      <c r="C949" s="12"/>
      <c r="D949" s="12"/>
    </row>
    <row x14ac:dyDescent="0.25" r="950" customHeight="1" ht="15.75">
      <c r="A950" s="2"/>
      <c r="B950" s="12"/>
      <c r="C950" s="12"/>
      <c r="D950" s="12"/>
    </row>
    <row x14ac:dyDescent="0.25" r="951" customHeight="1" ht="15.75">
      <c r="A951" s="2"/>
      <c r="B951" s="12"/>
      <c r="C951" s="12"/>
      <c r="D951" s="12"/>
    </row>
    <row x14ac:dyDescent="0.25" r="952" customHeight="1" ht="15.75">
      <c r="A952" s="2"/>
      <c r="B952" s="12"/>
      <c r="C952" s="12"/>
      <c r="D952" s="12"/>
    </row>
    <row x14ac:dyDescent="0.25" r="953" customHeight="1" ht="15.75">
      <c r="A953" s="2"/>
      <c r="B953" s="12"/>
      <c r="C953" s="12"/>
      <c r="D953" s="12"/>
    </row>
    <row x14ac:dyDescent="0.25" r="954" customHeight="1" ht="15.75">
      <c r="A954" s="2"/>
      <c r="B954" s="12"/>
      <c r="C954" s="12"/>
      <c r="D954" s="12"/>
    </row>
    <row x14ac:dyDescent="0.25" r="955" customHeight="1" ht="15.75">
      <c r="A955" s="2"/>
      <c r="B955" s="12"/>
      <c r="C955" s="12"/>
      <c r="D955" s="12"/>
    </row>
    <row x14ac:dyDescent="0.25" r="956" customHeight="1" ht="15.75">
      <c r="A956" s="2"/>
      <c r="B956" s="12"/>
      <c r="C956" s="12"/>
      <c r="D956" s="12"/>
    </row>
    <row x14ac:dyDescent="0.25" r="957" customHeight="1" ht="15.75">
      <c r="A957" s="2"/>
      <c r="B957" s="12"/>
      <c r="C957" s="12"/>
      <c r="D957" s="12"/>
    </row>
    <row x14ac:dyDescent="0.25" r="958" customHeight="1" ht="15.75">
      <c r="A958" s="2"/>
      <c r="B958" s="12"/>
      <c r="C958" s="12"/>
      <c r="D958" s="12"/>
    </row>
    <row x14ac:dyDescent="0.25" r="959" customHeight="1" ht="15.75">
      <c r="A959" s="2"/>
      <c r="B959" s="12"/>
      <c r="C959" s="12"/>
      <c r="D959" s="12"/>
    </row>
    <row x14ac:dyDescent="0.25" r="960" customHeight="1" ht="15.75">
      <c r="A960" s="2"/>
      <c r="B960" s="12"/>
      <c r="C960" s="12"/>
      <c r="D960" s="12"/>
    </row>
    <row x14ac:dyDescent="0.25" r="961" customHeight="1" ht="15.75">
      <c r="A961" s="2"/>
      <c r="B961" s="12"/>
      <c r="C961" s="12"/>
      <c r="D961" s="12"/>
    </row>
    <row x14ac:dyDescent="0.25" r="962" customHeight="1" ht="15.75">
      <c r="A962" s="2"/>
      <c r="B962" s="12"/>
      <c r="C962" s="12"/>
      <c r="D962" s="12"/>
    </row>
    <row x14ac:dyDescent="0.25" r="963" customHeight="1" ht="15.75">
      <c r="A963" s="2"/>
      <c r="B963" s="12"/>
      <c r="C963" s="12"/>
      <c r="D963" s="12"/>
    </row>
    <row x14ac:dyDescent="0.25" r="964" customHeight="1" ht="15.75">
      <c r="A964" s="2"/>
      <c r="B964" s="12"/>
      <c r="C964" s="12"/>
      <c r="D964" s="12"/>
    </row>
    <row x14ac:dyDescent="0.25" r="965" customHeight="1" ht="15.75">
      <c r="A965" s="2"/>
      <c r="B965" s="12"/>
      <c r="C965" s="12"/>
      <c r="D965" s="12"/>
    </row>
    <row x14ac:dyDescent="0.25" r="966" customHeight="1" ht="15.75">
      <c r="A966" s="2"/>
      <c r="B966" s="12"/>
      <c r="C966" s="12"/>
      <c r="D966" s="12"/>
    </row>
    <row x14ac:dyDescent="0.25" r="967" customHeight="1" ht="15.75">
      <c r="A967" s="2"/>
      <c r="B967" s="12"/>
      <c r="C967" s="12"/>
      <c r="D967" s="12"/>
    </row>
    <row x14ac:dyDescent="0.25" r="968" customHeight="1" ht="15.75">
      <c r="A968" s="2"/>
      <c r="B968" s="12"/>
      <c r="C968" s="12"/>
      <c r="D968" s="12"/>
    </row>
    <row x14ac:dyDescent="0.25" r="969" customHeight="1" ht="15.75">
      <c r="A969" s="2"/>
      <c r="B969" s="12"/>
      <c r="C969" s="12"/>
      <c r="D969" s="12"/>
    </row>
    <row x14ac:dyDescent="0.25" r="970" customHeight="1" ht="15.75">
      <c r="A970" s="2"/>
      <c r="B970" s="12"/>
      <c r="C970" s="12"/>
      <c r="D970" s="12"/>
    </row>
    <row x14ac:dyDescent="0.25" r="971" customHeight="1" ht="15.75">
      <c r="A971" s="2"/>
      <c r="B971" s="12"/>
      <c r="C971" s="12"/>
      <c r="D971" s="12"/>
    </row>
    <row x14ac:dyDescent="0.25" r="972" customHeight="1" ht="15.75">
      <c r="A972" s="2"/>
      <c r="B972" s="12"/>
      <c r="C972" s="12"/>
      <c r="D972" s="12"/>
    </row>
    <row x14ac:dyDescent="0.25" r="973" customHeight="1" ht="15.75">
      <c r="A973" s="2"/>
      <c r="B973" s="12"/>
      <c r="C973" s="12"/>
      <c r="D973" s="12"/>
    </row>
    <row x14ac:dyDescent="0.25" r="974" customHeight="1" ht="15.75">
      <c r="A974" s="2"/>
      <c r="B974" s="12"/>
      <c r="C974" s="12"/>
      <c r="D974" s="12"/>
    </row>
    <row x14ac:dyDescent="0.25" r="975" customHeight="1" ht="15.75">
      <c r="A975" s="2"/>
      <c r="B975" s="12"/>
      <c r="C975" s="12"/>
      <c r="D975" s="12"/>
    </row>
    <row x14ac:dyDescent="0.25" r="976" customHeight="1" ht="15.75">
      <c r="A976" s="2"/>
      <c r="B976" s="12"/>
      <c r="C976" s="12"/>
      <c r="D976" s="12"/>
    </row>
    <row x14ac:dyDescent="0.25" r="977" customHeight="1" ht="15.75">
      <c r="A977" s="2"/>
      <c r="B977" s="12"/>
      <c r="C977" s="12"/>
      <c r="D977" s="12"/>
    </row>
    <row x14ac:dyDescent="0.25" r="978" customHeight="1" ht="15.75">
      <c r="A978" s="2"/>
      <c r="B978" s="12"/>
      <c r="C978" s="12"/>
      <c r="D978" s="12"/>
    </row>
    <row x14ac:dyDescent="0.25" r="979" customHeight="1" ht="15.75">
      <c r="A979" s="2"/>
      <c r="B979" s="12"/>
      <c r="C979" s="12"/>
      <c r="D979" s="12"/>
    </row>
    <row x14ac:dyDescent="0.25" r="980" customHeight="1" ht="15.75">
      <c r="A980" s="2"/>
      <c r="B980" s="12"/>
      <c r="C980" s="12"/>
      <c r="D980" s="12"/>
    </row>
    <row x14ac:dyDescent="0.25" r="981" customHeight="1" ht="15.75">
      <c r="A981" s="2"/>
      <c r="B981" s="12"/>
      <c r="C981" s="12"/>
      <c r="D981" s="12"/>
    </row>
    <row x14ac:dyDescent="0.25" r="982" customHeight="1" ht="15.75">
      <c r="A982" s="2"/>
      <c r="B982" s="12"/>
      <c r="C982" s="12"/>
      <c r="D982" s="12"/>
    </row>
    <row x14ac:dyDescent="0.25" r="983" customHeight="1" ht="15.75">
      <c r="A983" s="2"/>
      <c r="B983" s="12"/>
      <c r="C983" s="12"/>
      <c r="D983" s="12"/>
    </row>
    <row x14ac:dyDescent="0.25" r="984" customHeight="1" ht="15.75">
      <c r="A984" s="2"/>
      <c r="B984" s="12"/>
      <c r="C984" s="12"/>
      <c r="D984" s="12"/>
    </row>
    <row x14ac:dyDescent="0.25" r="985" customHeight="1" ht="15.75">
      <c r="A985" s="2"/>
      <c r="B985" s="12"/>
      <c r="C985" s="12"/>
      <c r="D985" s="12"/>
    </row>
    <row x14ac:dyDescent="0.25" r="986" customHeight="1" ht="15.75">
      <c r="A986" s="2"/>
      <c r="B986" s="12"/>
      <c r="C986" s="12"/>
      <c r="D986" s="12"/>
    </row>
    <row x14ac:dyDescent="0.25" r="987" customHeight="1" ht="15.75">
      <c r="A987" s="2"/>
      <c r="B987" s="12"/>
      <c r="C987" s="12"/>
      <c r="D987" s="12"/>
    </row>
    <row x14ac:dyDescent="0.25" r="988" customHeight="1" ht="15.75">
      <c r="A988" s="2"/>
      <c r="B988" s="12"/>
      <c r="C988" s="12"/>
      <c r="D988" s="12"/>
    </row>
    <row x14ac:dyDescent="0.25" r="989" customHeight="1" ht="15.75">
      <c r="A989" s="2"/>
      <c r="B989" s="12"/>
      <c r="C989" s="12"/>
      <c r="D989" s="12"/>
    </row>
    <row x14ac:dyDescent="0.25" r="990" customHeight="1" ht="15.75">
      <c r="A990" s="2"/>
      <c r="B990" s="12"/>
      <c r="C990" s="12"/>
      <c r="D990" s="12"/>
    </row>
    <row x14ac:dyDescent="0.25" r="991" customHeight="1" ht="15.75">
      <c r="A991" s="2"/>
      <c r="B991" s="12"/>
      <c r="C991" s="12"/>
      <c r="D991" s="12"/>
    </row>
    <row x14ac:dyDescent="0.25" r="992" customHeight="1" ht="15.75">
      <c r="A992" s="2"/>
      <c r="B992" s="12"/>
      <c r="C992" s="12"/>
      <c r="D992" s="12"/>
    </row>
    <row x14ac:dyDescent="0.25" r="993" customHeight="1" ht="15.75">
      <c r="A993" s="2"/>
      <c r="B993" s="12"/>
      <c r="C993" s="12"/>
      <c r="D993" s="12"/>
    </row>
    <row x14ac:dyDescent="0.25" r="994" customHeight="1" ht="15.75">
      <c r="A994" s="2"/>
      <c r="B994" s="12"/>
      <c r="C994" s="12"/>
      <c r="D994" s="12"/>
    </row>
    <row x14ac:dyDescent="0.25" r="995" customHeight="1" ht="15.75">
      <c r="A995" s="2"/>
      <c r="B995" s="12"/>
      <c r="C995" s="12"/>
      <c r="D995" s="12"/>
    </row>
    <row x14ac:dyDescent="0.25" r="996" customHeight="1" ht="15.75">
      <c r="A996" s="2"/>
      <c r="B996" s="12"/>
      <c r="C996" s="12"/>
      <c r="D996" s="12"/>
    </row>
    <row x14ac:dyDescent="0.25" r="997" customHeight="1" ht="15.75">
      <c r="A997" s="2"/>
      <c r="B997" s="12"/>
      <c r="C997" s="12"/>
      <c r="D997" s="12"/>
    </row>
    <row x14ac:dyDescent="0.25" r="998" customHeight="1" ht="15.75">
      <c r="A998" s="2"/>
      <c r="B998" s="12"/>
      <c r="C998" s="12"/>
      <c r="D998" s="12"/>
    </row>
    <row x14ac:dyDescent="0.25" r="999" customHeight="1" ht="15.75">
      <c r="A999" s="2"/>
      <c r="B999" s="12"/>
      <c r="C999" s="12"/>
      <c r="D999" s="12"/>
    </row>
    <row x14ac:dyDescent="0.25" r="1000" customHeight="1" ht="15.75">
      <c r="A1000" s="2"/>
      <c r="B1000" s="12"/>
      <c r="C1000" s="12"/>
      <c r="D100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1"/>
  <sheetViews>
    <sheetView workbookViewId="0"/>
  </sheetViews>
  <sheetFormatPr defaultRowHeight="15" x14ac:dyDescent="0.25"/>
  <cols>
    <col min="1" max="1" style="6" width="33.43357142857143" customWidth="1" bestFit="1"/>
    <col min="2" max="2" style="6" width="30.14785714285714" customWidth="1" bestFit="1"/>
    <col min="3" max="3" style="6" width="36.71928571428572" customWidth="1" bestFit="1"/>
    <col min="4" max="4" style="6" width="36.71928571428572" customWidth="1" bestFit="1"/>
    <col min="5" max="5" style="6" width="33.86214285714286" customWidth="1" bestFit="1"/>
    <col min="6" max="6" style="6" width="33.86214285714286" customWidth="1" bestFit="1"/>
    <col min="7" max="7" style="6" width="29.719285714285714" customWidth="1" bestFit="1"/>
    <col min="8" max="8" style="6" width="33.86214285714286" customWidth="1" bestFit="1"/>
    <col min="9" max="9" style="7" width="71.14785714285713" customWidth="1" bestFit="1"/>
    <col min="10" max="10" style="6" width="34.71928571428572" customWidth="1" bestFit="1"/>
    <col min="11" max="11" style="6" width="13.576428571428572" customWidth="1" bestFit="1"/>
    <col min="12" max="12" style="6" width="36.71928571428572" customWidth="1" bestFit="1"/>
    <col min="13" max="13" style="6" width="18.005" customWidth="1" bestFit="1"/>
    <col min="14" max="14" style="6" width="13.719285714285713" customWidth="1" bestFit="1"/>
  </cols>
  <sheetData>
    <row x14ac:dyDescent="0.25" r="1" customHeight="1" ht="18">
      <c r="A1" s="1" t="s">
        <v>0</v>
      </c>
      <c r="B1" s="2" t="s">
        <v>1</v>
      </c>
      <c r="C1" s="2" t="s">
        <v>2</v>
      </c>
      <c r="D1" s="2" t="s">
        <v>3</v>
      </c>
      <c r="E1" s="2" t="s">
        <v>4</v>
      </c>
      <c r="F1" s="2" t="s">
        <v>5</v>
      </c>
      <c r="G1" s="2" t="s">
        <v>6</v>
      </c>
      <c r="H1" s="2" t="s">
        <v>7</v>
      </c>
      <c r="I1" s="3" t="s">
        <v>8</v>
      </c>
      <c r="J1" s="2" t="s">
        <v>9</v>
      </c>
      <c r="K1" s="2" t="s">
        <v>10</v>
      </c>
      <c r="L1" s="2" t="s">
        <v>11</v>
      </c>
      <c r="M1" s="2" t="s">
        <v>12</v>
      </c>
      <c r="N1" s="2" t="s">
        <v>13</v>
      </c>
    </row>
    <row x14ac:dyDescent="0.25" r="2" customHeight="1" ht="18">
      <c r="A2" s="4" t="s">
        <v>14</v>
      </c>
      <c r="B2" s="4" t="s">
        <v>15</v>
      </c>
      <c r="C2" s="5" t="s">
        <v>16</v>
      </c>
      <c r="D2" s="5" t="s">
        <v>17</v>
      </c>
      <c r="E2" s="4" t="s">
        <v>18</v>
      </c>
      <c r="F2" s="4" t="s">
        <v>19</v>
      </c>
      <c r="G2" s="4" t="s">
        <v>20</v>
      </c>
      <c r="H2" s="4" t="s">
        <v>21</v>
      </c>
      <c r="I2" s="4" t="s">
        <v>22</v>
      </c>
      <c r="J2" s="4" t="s">
        <v>23</v>
      </c>
      <c r="K2" s="4" t="s">
        <v>24</v>
      </c>
      <c r="L2" s="4" t="s">
        <v>25</v>
      </c>
      <c r="M2" s="4" t="s">
        <v>26</v>
      </c>
      <c r="N2" s="4" t="s">
        <v>27</v>
      </c>
    </row>
    <row x14ac:dyDescent="0.25" r="3" customHeight="1" ht="18">
      <c r="A3" s="4" t="s">
        <v>28</v>
      </c>
      <c r="B3" s="4" t="s">
        <v>29</v>
      </c>
      <c r="C3" s="5" t="s">
        <v>30</v>
      </c>
      <c r="D3" s="5" t="s">
        <v>31</v>
      </c>
      <c r="E3" s="4" t="s">
        <v>32</v>
      </c>
      <c r="F3" s="4" t="s">
        <v>33</v>
      </c>
      <c r="G3" s="4" t="s">
        <v>34</v>
      </c>
      <c r="H3" s="4" t="s">
        <v>35</v>
      </c>
      <c r="I3" s="4" t="s">
        <v>36</v>
      </c>
      <c r="J3" s="4" t="s">
        <v>37</v>
      </c>
      <c r="K3" s="4" t="s">
        <v>38</v>
      </c>
      <c r="L3" s="4" t="s">
        <v>39</v>
      </c>
      <c r="M3" s="4" t="s">
        <v>40</v>
      </c>
      <c r="N3" s="4" t="s">
        <v>41</v>
      </c>
    </row>
    <row x14ac:dyDescent="0.25" r="4" customHeight="1" ht="18">
      <c r="A4" s="4" t="s">
        <v>42</v>
      </c>
      <c r="B4" s="4" t="s">
        <v>43</v>
      </c>
      <c r="C4" s="5" t="s">
        <v>44</v>
      </c>
      <c r="D4" s="5" t="s">
        <v>45</v>
      </c>
      <c r="E4" s="4" t="s">
        <v>46</v>
      </c>
      <c r="F4" s="4" t="s">
        <v>47</v>
      </c>
      <c r="G4" s="4" t="s">
        <v>48</v>
      </c>
      <c r="H4" s="4" t="s">
        <v>49</v>
      </c>
      <c r="I4" s="4" t="s">
        <v>50</v>
      </c>
      <c r="J4" s="4" t="s">
        <v>51</v>
      </c>
      <c r="K4" s="4" t="s">
        <v>52</v>
      </c>
      <c r="L4" s="4" t="s">
        <v>53</v>
      </c>
      <c r="M4" s="4" t="s">
        <v>54</v>
      </c>
      <c r="N4" s="4" t="s">
        <v>55</v>
      </c>
    </row>
    <row x14ac:dyDescent="0.25" r="5" customHeight="1" ht="18">
      <c r="A5" s="2"/>
      <c r="B5" s="4" t="s">
        <v>56</v>
      </c>
      <c r="C5" s="5"/>
      <c r="D5" s="5" t="s">
        <v>57</v>
      </c>
      <c r="E5" s="4" t="s">
        <v>58</v>
      </c>
      <c r="F5" s="4" t="s">
        <v>59</v>
      </c>
      <c r="G5" s="4" t="s">
        <v>60</v>
      </c>
      <c r="H5" s="4" t="s">
        <v>61</v>
      </c>
      <c r="I5" s="4" t="s">
        <v>62</v>
      </c>
      <c r="J5" s="4" t="s">
        <v>63</v>
      </c>
      <c r="K5" s="4" t="s">
        <v>64</v>
      </c>
      <c r="L5" s="4" t="s">
        <v>65</v>
      </c>
      <c r="M5" s="4" t="s">
        <v>66</v>
      </c>
      <c r="N5" s="4" t="s">
        <v>67</v>
      </c>
    </row>
    <row x14ac:dyDescent="0.25" r="6" customHeight="1" ht="18">
      <c r="A6" s="2"/>
      <c r="B6" s="4" t="s">
        <v>68</v>
      </c>
      <c r="C6" s="5"/>
      <c r="D6" s="5" t="s">
        <v>69</v>
      </c>
      <c r="E6" s="4" t="s">
        <v>70</v>
      </c>
      <c r="F6" s="4" t="s">
        <v>71</v>
      </c>
      <c r="G6" s="4" t="s">
        <v>72</v>
      </c>
      <c r="H6" s="4" t="s">
        <v>73</v>
      </c>
      <c r="I6" s="4" t="s">
        <v>74</v>
      </c>
      <c r="J6" s="4" t="s">
        <v>75</v>
      </c>
      <c r="K6" s="4" t="s">
        <v>76</v>
      </c>
      <c r="L6" s="4" t="s">
        <v>77</v>
      </c>
      <c r="M6" s="4" t="s">
        <v>78</v>
      </c>
      <c r="N6" s="4" t="s">
        <v>79</v>
      </c>
    </row>
    <row x14ac:dyDescent="0.25" r="7" customHeight="1" ht="18">
      <c r="A7" s="2"/>
      <c r="B7" s="4" t="s">
        <v>80</v>
      </c>
      <c r="C7" s="5"/>
      <c r="D7" s="5" t="s">
        <v>81</v>
      </c>
      <c r="E7" s="4" t="s">
        <v>82</v>
      </c>
      <c r="F7" s="4" t="s">
        <v>83</v>
      </c>
      <c r="G7" s="4" t="s">
        <v>84</v>
      </c>
      <c r="H7" s="4" t="s">
        <v>85</v>
      </c>
      <c r="I7" s="4" t="s">
        <v>86</v>
      </c>
      <c r="J7" s="4" t="s">
        <v>87</v>
      </c>
      <c r="K7" s="4" t="s">
        <v>88</v>
      </c>
      <c r="L7" s="4" t="s">
        <v>89</v>
      </c>
      <c r="M7" s="4" t="s">
        <v>90</v>
      </c>
      <c r="N7" s="2"/>
    </row>
    <row x14ac:dyDescent="0.25" r="8" customHeight="1" ht="18">
      <c r="A8" s="2"/>
      <c r="B8" s="4" t="s">
        <v>91</v>
      </c>
      <c r="C8" s="5"/>
      <c r="D8" s="5" t="s">
        <v>92</v>
      </c>
      <c r="E8" s="4" t="s">
        <v>93</v>
      </c>
      <c r="F8" s="4" t="s">
        <v>94</v>
      </c>
      <c r="G8" s="2"/>
      <c r="H8" s="4" t="s">
        <v>95</v>
      </c>
      <c r="I8" s="4" t="s">
        <v>96</v>
      </c>
      <c r="J8" s="4" t="s">
        <v>97</v>
      </c>
      <c r="K8" s="4" t="s">
        <v>98</v>
      </c>
      <c r="L8" s="4" t="s">
        <v>99</v>
      </c>
      <c r="M8" s="4" t="s">
        <v>100</v>
      </c>
      <c r="N8" s="2"/>
    </row>
    <row x14ac:dyDescent="0.25" r="9" customHeight="1" ht="18">
      <c r="A9" s="2"/>
      <c r="B9" s="2"/>
      <c r="C9" s="5"/>
      <c r="D9" s="5" t="s">
        <v>101</v>
      </c>
      <c r="E9" s="4" t="s">
        <v>102</v>
      </c>
      <c r="F9" s="4" t="s">
        <v>103</v>
      </c>
      <c r="G9" s="2"/>
      <c r="H9" s="4" t="s">
        <v>104</v>
      </c>
      <c r="I9" s="4" t="s">
        <v>105</v>
      </c>
      <c r="J9" s="4" t="s">
        <v>106</v>
      </c>
      <c r="K9" s="4" t="s">
        <v>107</v>
      </c>
      <c r="L9" s="4" t="s">
        <v>108</v>
      </c>
      <c r="M9" s="4" t="s">
        <v>109</v>
      </c>
      <c r="N9" s="2"/>
    </row>
    <row x14ac:dyDescent="0.25" r="10" customHeight="1" ht="18">
      <c r="A10" s="2"/>
      <c r="B10" s="2"/>
      <c r="C10" s="5"/>
      <c r="D10" s="5" t="s">
        <v>110</v>
      </c>
      <c r="E10" s="4" t="s">
        <v>111</v>
      </c>
      <c r="F10" s="4" t="s">
        <v>112</v>
      </c>
      <c r="G10" s="2"/>
      <c r="H10" s="2"/>
      <c r="I10" s="4" t="s">
        <v>113</v>
      </c>
      <c r="J10" s="4" t="s">
        <v>114</v>
      </c>
      <c r="K10" s="4" t="s">
        <v>115</v>
      </c>
      <c r="L10" s="4" t="s">
        <v>116</v>
      </c>
      <c r="M10" s="4" t="s">
        <v>117</v>
      </c>
      <c r="N10" s="2"/>
    </row>
    <row x14ac:dyDescent="0.25" r="11" customHeight="1" ht="18">
      <c r="A11" s="2"/>
      <c r="B11" s="2"/>
      <c r="C11" s="5"/>
      <c r="D11" s="5" t="s">
        <v>118</v>
      </c>
      <c r="E11" s="4" t="s">
        <v>119</v>
      </c>
      <c r="F11" s="4" t="s">
        <v>120</v>
      </c>
      <c r="G11" s="2"/>
      <c r="H11" s="2"/>
      <c r="I11" s="4" t="s">
        <v>121</v>
      </c>
      <c r="J11" s="2"/>
      <c r="K11" s="2"/>
      <c r="L11" s="4" t="s">
        <v>122</v>
      </c>
      <c r="M11" s="2"/>
      <c r="N11" s="2"/>
    </row>
    <row x14ac:dyDescent="0.25" r="12" customHeight="1" ht="18">
      <c r="A12" s="2"/>
      <c r="B12" s="2"/>
      <c r="C12" s="5"/>
      <c r="D12" s="5" t="s">
        <v>123</v>
      </c>
      <c r="E12" s="2"/>
      <c r="F12" s="4" t="s">
        <v>124</v>
      </c>
      <c r="G12" s="2"/>
      <c r="H12" s="2"/>
      <c r="I12" s="4" t="s">
        <v>125</v>
      </c>
      <c r="J12" s="2"/>
      <c r="K12" s="2"/>
      <c r="L12" s="4" t="s">
        <v>126</v>
      </c>
      <c r="M12" s="2"/>
      <c r="N12" s="2"/>
    </row>
    <row x14ac:dyDescent="0.25" r="13" customHeight="1" ht="18">
      <c r="A13" s="2"/>
      <c r="B13" s="2"/>
      <c r="C13" s="5"/>
      <c r="D13" s="5" t="s">
        <v>127</v>
      </c>
      <c r="E13" s="2"/>
      <c r="F13" s="2"/>
      <c r="G13" s="2"/>
      <c r="H13" s="2"/>
      <c r="I13" s="4" t="s">
        <v>128</v>
      </c>
      <c r="J13" s="2"/>
      <c r="K13" s="2"/>
      <c r="L13" s="4" t="s">
        <v>129</v>
      </c>
      <c r="M13" s="2"/>
      <c r="N13" s="2"/>
    </row>
    <row x14ac:dyDescent="0.25" r="14" customHeight="1" ht="18">
      <c r="A14" s="2"/>
      <c r="B14" s="2"/>
      <c r="C14" s="5"/>
      <c r="D14" s="5" t="s">
        <v>130</v>
      </c>
      <c r="E14" s="2"/>
      <c r="F14" s="2"/>
      <c r="G14" s="2"/>
      <c r="H14" s="2"/>
      <c r="I14" s="4" t="s">
        <v>131</v>
      </c>
      <c r="J14" s="2"/>
      <c r="K14" s="2"/>
      <c r="L14" s="2"/>
      <c r="M14" s="2"/>
      <c r="N14" s="2"/>
    </row>
    <row x14ac:dyDescent="0.25" r="15" customHeight="1" ht="18">
      <c r="A15" s="2"/>
      <c r="B15" s="2"/>
      <c r="C15" s="5"/>
      <c r="D15" s="5" t="s">
        <v>132</v>
      </c>
      <c r="E15" s="2"/>
      <c r="F15" s="2"/>
      <c r="G15" s="2"/>
      <c r="H15" s="2"/>
      <c r="I15" s="4" t="s">
        <v>133</v>
      </c>
      <c r="J15" s="2"/>
      <c r="K15" s="2"/>
      <c r="L15" s="2"/>
      <c r="M15" s="2"/>
      <c r="N15" s="2"/>
    </row>
    <row x14ac:dyDescent="0.25" r="16" customHeight="1" ht="18">
      <c r="A16" s="2"/>
      <c r="B16" s="2"/>
      <c r="C16" s="4"/>
      <c r="D16" s="4" t="s">
        <v>134</v>
      </c>
      <c r="E16" s="2"/>
      <c r="F16" s="2"/>
      <c r="G16" s="2"/>
      <c r="H16" s="2"/>
      <c r="I16" s="4" t="s">
        <v>135</v>
      </c>
      <c r="J16" s="2"/>
      <c r="K16" s="2"/>
      <c r="L16" s="2"/>
      <c r="M16" s="2"/>
      <c r="N16" s="2"/>
    </row>
    <row x14ac:dyDescent="0.25" r="17" customHeight="1" ht="18">
      <c r="A17" s="2"/>
      <c r="B17" s="2"/>
      <c r="C17" s="2"/>
      <c r="D17" s="4" t="s">
        <v>136</v>
      </c>
      <c r="E17" s="2"/>
      <c r="F17" s="2"/>
      <c r="G17" s="2"/>
      <c r="H17" s="2"/>
      <c r="I17" s="4" t="s">
        <v>137</v>
      </c>
      <c r="J17" s="2"/>
      <c r="K17" s="2"/>
      <c r="L17" s="2"/>
      <c r="M17" s="2"/>
      <c r="N17" s="2"/>
    </row>
    <row x14ac:dyDescent="0.25" r="18" customHeight="1" ht="18">
      <c r="A18" s="2"/>
      <c r="B18" s="2"/>
      <c r="C18" s="2"/>
      <c r="D18" s="4" t="s">
        <v>138</v>
      </c>
      <c r="E18" s="2"/>
      <c r="F18" s="2"/>
      <c r="G18" s="2"/>
      <c r="H18" s="2"/>
      <c r="I18" s="4" t="s">
        <v>139</v>
      </c>
      <c r="J18" s="2"/>
      <c r="K18" s="2"/>
      <c r="L18" s="2"/>
      <c r="M18" s="2"/>
      <c r="N18" s="2"/>
    </row>
    <row x14ac:dyDescent="0.25" r="19" customHeight="1" ht="18">
      <c r="A19" s="2"/>
      <c r="B19" s="2"/>
      <c r="C19" s="2"/>
      <c r="D19" s="2"/>
      <c r="E19" s="2"/>
      <c r="F19" s="2"/>
      <c r="G19" s="2"/>
      <c r="H19" s="2"/>
      <c r="I19" s="4" t="s">
        <v>140</v>
      </c>
      <c r="J19" s="2"/>
      <c r="K19" s="2"/>
      <c r="L19" s="2"/>
      <c r="M19" s="2"/>
      <c r="N19" s="2"/>
    </row>
    <row x14ac:dyDescent="0.25" r="20" customHeight="1" ht="18">
      <c r="A20" s="2"/>
      <c r="B20" s="2"/>
      <c r="C20" s="2"/>
      <c r="D20" s="2"/>
      <c r="E20" s="2"/>
      <c r="F20" s="2"/>
      <c r="G20" s="2"/>
      <c r="H20" s="2"/>
      <c r="I20" s="4" t="s">
        <v>141</v>
      </c>
      <c r="J20" s="2"/>
      <c r="K20" s="2"/>
      <c r="L20" s="2"/>
      <c r="M20" s="2"/>
      <c r="N20" s="2"/>
    </row>
    <row x14ac:dyDescent="0.25" r="21" customHeight="1" ht="18">
      <c r="A21" s="2"/>
      <c r="B21" s="2"/>
      <c r="C21" s="2"/>
      <c r="D21" s="2"/>
      <c r="E21" s="2"/>
      <c r="F21" s="2"/>
      <c r="G21" s="2"/>
      <c r="H21" s="2"/>
      <c r="I21" s="4" t="s">
        <v>142</v>
      </c>
      <c r="J21" s="2"/>
      <c r="K21" s="2"/>
      <c r="L21" s="2"/>
      <c r="M21" s="2"/>
      <c r="N21"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Universe of Fields</vt:lpstr>
      <vt:lpstr>Sheet2</vt:lpstr>
      <vt:lpstr>ECM Category</vt:lpstr>
      <vt:lpstr>Lists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2025-03-24T21:34:08.755Z</dcterms:created>
  <dcterms:modified xsi:type="dcterms:W3CDTF">2025-03-24T21:34:08.755Z</dcterms:modified>
</cp:coreProperties>
</file>